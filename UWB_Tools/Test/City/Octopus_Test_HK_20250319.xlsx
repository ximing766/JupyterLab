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Work\UWB\Test\"/>
    </mc:Choice>
  </mc:AlternateContent>
  <xr:revisionPtr revIDLastSave="0" documentId="13_ncr:1_{0E97400B-B798-4DA5-ADAE-A8297A6C81D5}" xr6:coauthVersionLast="47" xr6:coauthVersionMax="47" xr10:uidLastSave="{00000000-0000-0000-0000-000000000000}"/>
  <bookViews>
    <workbookView xWindow="-30828" yWindow="4344" windowWidth="30936" windowHeight="16776" activeTab="1" xr2:uid="{00000000-000D-0000-FFFF-FFFF00000000}"/>
  </bookViews>
  <sheets>
    <sheet name="Preparation" sheetId="1" r:id="rId1"/>
    <sheet name="Item" sheetId="2" r:id="rId2"/>
  </sheets>
  <definedNames>
    <definedName name="_xlnm._FilterDatabase" localSheetId="1" hidden="1">Item!$T$3:$Y$24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4" i="2" l="1"/>
  <c r="U11" i="2"/>
  <c r="X3" i="2"/>
  <c r="Y3" i="2"/>
  <c r="X4" i="2"/>
  <c r="Y4" i="2"/>
  <c r="X5" i="2"/>
  <c r="Y5" i="2"/>
  <c r="X6" i="2"/>
  <c r="Y6" i="2"/>
  <c r="U7" i="2"/>
  <c r="X7" i="2"/>
  <c r="Y7" i="2"/>
  <c r="U8" i="2"/>
  <c r="X8" i="2"/>
  <c r="Y8" i="2"/>
  <c r="X9" i="2"/>
  <c r="Y9" i="2"/>
  <c r="X10" i="2"/>
  <c r="Y10" i="2"/>
  <c r="X11" i="2"/>
  <c r="Y11" i="2"/>
  <c r="U12" i="2"/>
  <c r="X12" i="2" s="1"/>
  <c r="U13" i="2"/>
  <c r="X13" i="2"/>
  <c r="Y13" i="2"/>
  <c r="U14" i="2"/>
  <c r="X14" i="2"/>
  <c r="Y14" i="2"/>
  <c r="X15" i="2"/>
  <c r="Y15" i="2"/>
  <c r="X16" i="2"/>
  <c r="Y16" i="2"/>
  <c r="U17" i="2"/>
  <c r="Y17" i="2" s="1"/>
  <c r="X17" i="2"/>
  <c r="U18" i="2"/>
  <c r="X18" i="2" s="1"/>
  <c r="U19" i="2"/>
  <c r="X19" i="2"/>
  <c r="Y19" i="2"/>
  <c r="U20" i="2"/>
  <c r="X20" i="2"/>
  <c r="Y20" i="2"/>
  <c r="X21" i="2"/>
  <c r="Y21" i="2"/>
  <c r="X22" i="2"/>
  <c r="Y22" i="2"/>
  <c r="U23" i="2"/>
  <c r="Y23" i="2" s="1"/>
  <c r="X23" i="2"/>
  <c r="U24" i="2"/>
  <c r="X24" i="2" s="1"/>
  <c r="L22" i="2"/>
  <c r="L35" i="2"/>
  <c r="L36" i="2"/>
  <c r="L37" i="2"/>
  <c r="L38" i="2"/>
  <c r="L39" i="2"/>
  <c r="L40" i="2"/>
  <c r="L41" i="2"/>
  <c r="L42" i="2"/>
  <c r="L43" i="2"/>
  <c r="L34" i="2"/>
  <c r="H35" i="2"/>
  <c r="H36" i="2"/>
  <c r="H37" i="2"/>
  <c r="H38" i="2"/>
  <c r="H39" i="2"/>
  <c r="H40" i="2"/>
  <c r="H41" i="2"/>
  <c r="H42" i="2"/>
  <c r="H43" i="2"/>
  <c r="H44" i="2"/>
  <c r="H34" i="2"/>
  <c r="L19" i="2"/>
  <c r="L20" i="2"/>
  <c r="L21" i="2"/>
  <c r="L23" i="2"/>
  <c r="L24" i="2"/>
  <c r="L25" i="2"/>
  <c r="L26" i="2"/>
  <c r="L27" i="2"/>
  <c r="L28" i="2"/>
  <c r="L18" i="2"/>
  <c r="H19" i="2"/>
  <c r="H20" i="2"/>
  <c r="H21" i="2"/>
  <c r="H22" i="2"/>
  <c r="H23" i="2"/>
  <c r="H24" i="2"/>
  <c r="H25" i="2"/>
  <c r="H26" i="2"/>
  <c r="H27" i="2"/>
  <c r="H28" i="2"/>
  <c r="H18" i="2"/>
  <c r="L4" i="2"/>
  <c r="L5" i="2"/>
  <c r="L6" i="2"/>
  <c r="L7" i="2"/>
  <c r="L8" i="2"/>
  <c r="L9" i="2"/>
  <c r="L10" i="2"/>
  <c r="L11" i="2"/>
  <c r="L12" i="2"/>
  <c r="L13" i="2"/>
  <c r="L3" i="2"/>
  <c r="H4" i="2"/>
  <c r="H5" i="2"/>
  <c r="H6" i="2"/>
  <c r="H7" i="2"/>
  <c r="H8" i="2"/>
  <c r="H9" i="2"/>
  <c r="H10" i="2"/>
  <c r="H11" i="2"/>
  <c r="H12" i="2"/>
  <c r="H13" i="2"/>
  <c r="H3" i="2"/>
  <c r="Y24" i="2" l="1"/>
  <c r="Y18" i="2"/>
  <c r="Y12" i="2"/>
</calcChain>
</file>

<file path=xl/sharedStrings.xml><?xml version="1.0" encoding="utf-8"?>
<sst xmlns="http://schemas.openxmlformats.org/spreadsheetml/2006/main" count="201" uniqueCount="68">
  <si>
    <t>Preparation</t>
    <phoneticPr fontId="1" type="noConversion"/>
  </si>
  <si>
    <t xml:space="preserve">Antenna delay calibration </t>
    <phoneticPr fontId="1" type="noConversion"/>
  </si>
  <si>
    <t>Purpose</t>
    <phoneticPr fontId="1" type="noConversion"/>
  </si>
  <si>
    <t>Make sure distance accuracy</t>
    <phoneticPr fontId="1" type="noConversion"/>
  </si>
  <si>
    <t>Correct antenna mode configuration</t>
    <phoneticPr fontId="1" type="noConversion"/>
  </si>
  <si>
    <t>Make sure RSSI correct</t>
    <phoneticPr fontId="1" type="noConversion"/>
  </si>
  <si>
    <t>Device</t>
    <phoneticPr fontId="1" type="noConversion"/>
  </si>
  <si>
    <t>Correct antenna configuration</t>
    <phoneticPr fontId="1" type="noConversion"/>
  </si>
  <si>
    <t>Phone</t>
    <phoneticPr fontId="1" type="noConversion"/>
  </si>
  <si>
    <t>Gate&amp;Phone</t>
    <phoneticPr fontId="1" type="noConversion"/>
  </si>
  <si>
    <t>Test Item</t>
    <phoneticPr fontId="1" type="noConversion"/>
  </si>
  <si>
    <t>Point</t>
    <phoneticPr fontId="1" type="noConversion"/>
  </si>
  <si>
    <t>Height(m)</t>
    <phoneticPr fontId="1" type="noConversion"/>
  </si>
  <si>
    <t>Distance(m)</t>
    <phoneticPr fontId="1" type="noConversion"/>
  </si>
  <si>
    <t>Center</t>
    <phoneticPr fontId="1" type="noConversion"/>
  </si>
  <si>
    <t>Master</t>
    <phoneticPr fontId="1" type="noConversion"/>
  </si>
  <si>
    <t>Slave</t>
    <phoneticPr fontId="1" type="noConversion"/>
  </si>
  <si>
    <t>Position</t>
    <phoneticPr fontId="1" type="noConversion"/>
  </si>
  <si>
    <t>Log Captured</t>
    <phoneticPr fontId="1" type="noConversion"/>
  </si>
  <si>
    <t>Front pocket test</t>
    <phoneticPr fontId="1" type="noConversion"/>
  </si>
  <si>
    <t>Back pocket test</t>
    <phoneticPr fontId="1" type="noConversion"/>
  </si>
  <si>
    <t>Back bag test</t>
    <phoneticPr fontId="1" type="noConversion"/>
  </si>
  <si>
    <t>Side bag test</t>
    <phoneticPr fontId="1" type="noConversion"/>
  </si>
  <si>
    <t>Hand hold test - Naturally right</t>
    <phoneticPr fontId="1" type="noConversion"/>
  </si>
  <si>
    <t>Hand hold test - Naturally left</t>
    <phoneticPr fontId="1" type="noConversion"/>
  </si>
  <si>
    <t>Hand hold test - Play - Mid</t>
    <phoneticPr fontId="1" type="noConversion"/>
  </si>
  <si>
    <t>Right hand phone call</t>
    <phoneticPr fontId="1" type="noConversion"/>
  </si>
  <si>
    <t>Left hand phone call</t>
    <phoneticPr fontId="1" type="noConversion"/>
  </si>
  <si>
    <t>Real use case test</t>
    <phoneticPr fontId="1" type="noConversion"/>
  </si>
  <si>
    <t xml:space="preserve">Antenna Facing </t>
    <phoneticPr fontId="1" type="noConversion"/>
  </si>
  <si>
    <t>Ground</t>
    <phoneticPr fontId="1" type="noConversion"/>
  </si>
  <si>
    <t>Hand</t>
    <phoneticPr fontId="1" type="noConversion"/>
  </si>
  <si>
    <t>Gate</t>
    <phoneticPr fontId="1" type="noConversion"/>
  </si>
  <si>
    <t>Air</t>
    <phoneticPr fontId="1" type="noConversion"/>
  </si>
  <si>
    <t>Outside</t>
    <phoneticPr fontId="1" type="noConversion"/>
  </si>
  <si>
    <t>ToF-Avg</t>
    <phoneticPr fontId="5" type="noConversion"/>
  </si>
  <si>
    <t>ToF-Std</t>
    <phoneticPr fontId="5" type="noConversion"/>
  </si>
  <si>
    <t>M</t>
    <phoneticPr fontId="1" type="noConversion"/>
  </si>
  <si>
    <t>RSSI</t>
    <phoneticPr fontId="5" type="noConversion"/>
  </si>
  <si>
    <t>S</t>
    <phoneticPr fontId="1" type="noConversion"/>
  </si>
  <si>
    <t>yes</t>
    <phoneticPr fontId="1" type="noConversion"/>
  </si>
  <si>
    <t>X</t>
    <phoneticPr fontId="5" type="noConversion"/>
  </si>
  <si>
    <t>Y</t>
    <phoneticPr fontId="5" type="noConversion"/>
  </si>
  <si>
    <t>Z</t>
    <phoneticPr fontId="5" type="noConversion"/>
  </si>
  <si>
    <t>D-M</t>
    <phoneticPr fontId="5" type="noConversion"/>
  </si>
  <si>
    <t>A</t>
    <phoneticPr fontId="5" type="noConversion"/>
  </si>
  <si>
    <t>B</t>
    <phoneticPr fontId="5" type="noConversion"/>
  </si>
  <si>
    <t>11-8-6-3-1</t>
    <phoneticPr fontId="1" type="noConversion"/>
  </si>
  <si>
    <t>11-8-6-3-2</t>
  </si>
  <si>
    <t>11-8-6-3-3</t>
  </si>
  <si>
    <t>11-8-6-3-4</t>
  </si>
  <si>
    <t>11-8-6-3-5</t>
  </si>
  <si>
    <t>11-8-6-3-6</t>
  </si>
  <si>
    <t>11-8-6-3-7</t>
  </si>
  <si>
    <t>M</t>
    <phoneticPr fontId="5" type="noConversion"/>
  </si>
  <si>
    <t>S1</t>
    <phoneticPr fontId="5" type="noConversion"/>
  </si>
  <si>
    <t>S2</t>
    <phoneticPr fontId="5" type="noConversion"/>
  </si>
  <si>
    <t>x</t>
    <phoneticPr fontId="5" type="noConversion"/>
  </si>
  <si>
    <t>y</t>
    <phoneticPr fontId="5" type="noConversion"/>
  </si>
  <si>
    <t>z</t>
    <phoneticPr fontId="5" type="noConversion"/>
  </si>
  <si>
    <t>D-S</t>
    <phoneticPr fontId="5" type="noConversion"/>
  </si>
  <si>
    <t>dis-res</t>
    <phoneticPr fontId="1" type="noConversion"/>
  </si>
  <si>
    <r>
      <t>6</t>
    </r>
    <r>
      <rPr>
        <sz val="11"/>
        <color rgb="FF000000"/>
        <rFont val="宋体"/>
        <family val="2"/>
        <charset val="134"/>
      </rPr>
      <t>校准后</t>
    </r>
    <phoneticPr fontId="1" type="noConversion"/>
  </si>
  <si>
    <r>
      <t>0.8m</t>
    </r>
    <r>
      <rPr>
        <b/>
        <sz val="11"/>
        <color theme="1"/>
        <rFont val="宋体"/>
        <family val="2"/>
        <charset val="134"/>
      </rPr>
      <t>校验后</t>
    </r>
    <phoneticPr fontId="1" type="noConversion"/>
  </si>
  <si>
    <r>
      <t>0.8m</t>
    </r>
    <r>
      <rPr>
        <b/>
        <sz val="11"/>
        <color theme="1"/>
        <rFont val="宋体"/>
        <family val="2"/>
        <charset val="134"/>
      </rPr>
      <t>校验前</t>
    </r>
    <phoneticPr fontId="1" type="noConversion"/>
  </si>
  <si>
    <r>
      <t>0.8m</t>
    </r>
    <r>
      <rPr>
        <sz val="11"/>
        <color theme="0"/>
        <rFont val="宋体"/>
        <family val="2"/>
        <charset val="134"/>
      </rPr>
      <t>点位距离</t>
    </r>
    <phoneticPr fontId="1" type="noConversion"/>
  </si>
  <si>
    <r>
      <t>1.5m</t>
    </r>
    <r>
      <rPr>
        <sz val="11"/>
        <color theme="0"/>
        <rFont val="宋体"/>
        <family val="2"/>
        <charset val="134"/>
      </rPr>
      <t>点位距离</t>
    </r>
    <phoneticPr fontId="1" type="noConversion"/>
  </si>
  <si>
    <t>1.5m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</si>
</sst>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Microsoft YaHei UI"/>
      <family val="2"/>
      <charset val="134"/>
    </font>
    <font>
      <sz val="9"/>
      <name val="等线"/>
      <family val="2"/>
      <charset val="134"/>
      <scheme val="minor"/>
    </font>
    <font>
      <b/>
      <sz val="11"/>
      <color rgb="FFFFFFFF"/>
      <name val="Microsoft YaHei UI"/>
      <family val="2"/>
      <charset val="134"/>
    </font>
    <font>
      <b/>
      <sz val="11"/>
      <color rgb="FF000000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Arial"/>
      <family val="2"/>
    </font>
    <font>
      <sz val="11"/>
      <color theme="0"/>
      <name val="宋体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674188"/>
        <bgColor indexed="64"/>
      </patternFill>
    </fill>
    <fill>
      <patternFill patternType="solid">
        <fgColor rgb="FFDACD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430A5D"/>
        <bgColor indexed="64"/>
      </patternFill>
    </fill>
    <fill>
      <patternFill patternType="solid">
        <fgColor rgb="FFF1EA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6E6F2"/>
        <bgColor indexed="64"/>
      </patternFill>
    </fill>
    <fill>
      <patternFill patternType="solid">
        <fgColor rgb="FFF7FBFC"/>
        <bgColor indexed="64"/>
      </patternFill>
    </fill>
    <fill>
      <patternFill patternType="solid">
        <fgColor rgb="FF769FC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dashed">
        <color rgb="FF674188"/>
      </left>
      <right style="dashed">
        <color rgb="FF674188"/>
      </right>
      <top style="dashed">
        <color rgb="FF674188"/>
      </top>
      <bottom style="dashed">
        <color rgb="FF674188"/>
      </bottom>
      <diagonal/>
    </border>
    <border>
      <left style="dashed">
        <color rgb="FF674188"/>
      </left>
      <right style="dashed">
        <color rgb="FF674188"/>
      </right>
      <top style="dashed">
        <color rgb="FF674188"/>
      </top>
      <bottom/>
      <diagonal/>
    </border>
    <border>
      <left style="dashed">
        <color rgb="FF674188"/>
      </left>
      <right style="dashed">
        <color rgb="FF674188"/>
      </right>
      <top/>
      <bottom style="dashed">
        <color rgb="FF674188"/>
      </bottom>
      <diagonal/>
    </border>
    <border>
      <left/>
      <right style="dashed">
        <color rgb="FF674188"/>
      </right>
      <top/>
      <bottom style="dashed">
        <color rgb="FF674188"/>
      </bottom>
      <diagonal/>
    </border>
    <border>
      <left/>
      <right style="dashed">
        <color rgb="FF674188"/>
      </right>
      <top style="dashed">
        <color rgb="FF674188"/>
      </top>
      <bottom style="dashed">
        <color rgb="FF674188"/>
      </bottom>
      <diagonal/>
    </border>
    <border>
      <left/>
      <right/>
      <top style="thin">
        <color rgb="FF430A5D"/>
      </top>
      <bottom style="thin">
        <color rgb="FF430A5D"/>
      </bottom>
      <diagonal/>
    </border>
    <border>
      <left/>
      <right/>
      <top/>
      <bottom style="dashed">
        <color rgb="FFDDDDDD"/>
      </bottom>
      <diagonal/>
    </border>
    <border>
      <left/>
      <right/>
      <top style="dashed">
        <color rgb="FFDDDDDD"/>
      </top>
      <bottom style="dashed">
        <color rgb="FFDDDDDD"/>
      </bottom>
      <diagonal/>
    </border>
    <border>
      <left/>
      <right/>
      <top style="dashed">
        <color rgb="FFDDDDDD"/>
      </top>
      <bottom style="thin">
        <color rgb="FF430A5D"/>
      </bottom>
      <diagonal/>
    </border>
    <border>
      <left style="thin">
        <color rgb="FF769FCD"/>
      </left>
      <right style="dashed">
        <color rgb="FF769FCD"/>
      </right>
      <top/>
      <bottom/>
      <diagonal/>
    </border>
    <border>
      <left style="dashed">
        <color rgb="FF769FCD"/>
      </left>
      <right style="dashed">
        <color rgb="FF769FCD"/>
      </right>
      <top/>
      <bottom/>
      <diagonal/>
    </border>
    <border>
      <left style="dashed">
        <color rgb="FF769FCD"/>
      </left>
      <right style="thin">
        <color rgb="FF769FCD"/>
      </right>
      <top/>
      <bottom/>
      <diagonal/>
    </border>
    <border>
      <left style="thin">
        <color rgb="FF769FCD"/>
      </left>
      <right style="dashed">
        <color rgb="FF769FCD"/>
      </right>
      <top/>
      <bottom style="thin">
        <color rgb="FF769FCD"/>
      </bottom>
      <diagonal/>
    </border>
    <border>
      <left style="dashed">
        <color rgb="FF769FCD"/>
      </left>
      <right style="dashed">
        <color rgb="FF769FCD"/>
      </right>
      <top/>
      <bottom style="thin">
        <color rgb="FF769FCD"/>
      </bottom>
      <diagonal/>
    </border>
    <border>
      <left style="dashed">
        <color rgb="FF769FCD"/>
      </left>
      <right style="thin">
        <color rgb="FF769FCD"/>
      </right>
      <top/>
      <bottom style="thin">
        <color rgb="FF769FCD"/>
      </bottom>
      <diagonal/>
    </border>
    <border>
      <left style="thin">
        <color rgb="FF769FCD"/>
      </left>
      <right style="dashed">
        <color rgb="FF769FCD"/>
      </right>
      <top style="thin">
        <color rgb="FF769FCD"/>
      </top>
      <bottom style="thin">
        <color rgb="FF769FCD"/>
      </bottom>
      <diagonal/>
    </border>
    <border>
      <left style="dashed">
        <color rgb="FF769FCD"/>
      </left>
      <right style="dashed">
        <color rgb="FF769FCD"/>
      </right>
      <top style="thin">
        <color rgb="FF769FCD"/>
      </top>
      <bottom style="thin">
        <color rgb="FF769FCD"/>
      </bottom>
      <diagonal/>
    </border>
    <border>
      <left style="dashed">
        <color rgb="FF769FCD"/>
      </left>
      <right style="thin">
        <color rgb="FF769FCD"/>
      </right>
      <top style="thin">
        <color rgb="FF769FCD"/>
      </top>
      <bottom style="thin">
        <color rgb="FF769FCD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6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76" fontId="10" fillId="10" borderId="11" xfId="0" applyNumberFormat="1" applyFont="1" applyFill="1" applyBorder="1" applyAlignment="1">
      <alignment horizontal="center" vertical="center"/>
    </xf>
    <xf numFmtId="176" fontId="10" fillId="9" borderId="1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10" fillId="10" borderId="14" xfId="0" applyNumberFormat="1" applyFont="1" applyFill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627500</xdr:colOff>
      <xdr:row>24</xdr:row>
      <xdr:rowOff>142110</xdr:rowOff>
    </xdr:from>
    <xdr:to>
      <xdr:col>25</xdr:col>
      <xdr:colOff>76305</xdr:colOff>
      <xdr:row>36</xdr:row>
      <xdr:rowOff>198957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D8B917E-F6D8-4E51-9ECF-24B60E1B3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7591" y="4895952"/>
          <a:ext cx="4505714" cy="2143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"/>
  <sheetViews>
    <sheetView zoomScale="145" zoomScaleNormal="145" workbookViewId="0">
      <selection activeCell="E8" sqref="E8"/>
    </sheetView>
  </sheetViews>
  <sheetFormatPr defaultColWidth="8.86328125" defaultRowHeight="13.5" x14ac:dyDescent="0.4"/>
  <cols>
    <col min="1" max="1" width="8.86328125" style="1"/>
    <col min="2" max="2" width="2.6640625" style="1" bestFit="1" customWidth="1"/>
    <col min="3" max="3" width="36" style="1" bestFit="1" customWidth="1"/>
    <col min="4" max="4" width="29.6640625" style="1" bestFit="1" customWidth="1"/>
    <col min="5" max="5" width="13.33203125" style="1" bestFit="1" customWidth="1"/>
    <col min="6" max="16384" width="8.86328125" style="1"/>
  </cols>
  <sheetData>
    <row r="2" spans="2:5" ht="13.9" x14ac:dyDescent="0.4">
      <c r="C2" s="2" t="s">
        <v>0</v>
      </c>
      <c r="D2" s="2" t="s">
        <v>2</v>
      </c>
      <c r="E2" s="2" t="s">
        <v>6</v>
      </c>
    </row>
    <row r="3" spans="2:5" x14ac:dyDescent="0.4">
      <c r="B3" s="1">
        <v>1</v>
      </c>
      <c r="C3" s="3" t="s">
        <v>1</v>
      </c>
      <c r="D3" s="3" t="s">
        <v>3</v>
      </c>
      <c r="E3" s="1" t="s">
        <v>9</v>
      </c>
    </row>
    <row r="4" spans="2:5" x14ac:dyDescent="0.4">
      <c r="B4" s="1">
        <v>2</v>
      </c>
      <c r="C4" s="3" t="s">
        <v>4</v>
      </c>
      <c r="D4" s="3" t="s">
        <v>5</v>
      </c>
      <c r="E4" s="1" t="s">
        <v>9</v>
      </c>
    </row>
    <row r="5" spans="2:5" x14ac:dyDescent="0.4">
      <c r="B5" s="1">
        <v>3</v>
      </c>
      <c r="C5" s="3" t="s">
        <v>7</v>
      </c>
      <c r="D5" s="3" t="s">
        <v>3</v>
      </c>
      <c r="E5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CE37-82B2-4738-A5EA-8CEAA49BD637}">
  <dimension ref="A1:AH67"/>
  <sheetViews>
    <sheetView tabSelected="1" topLeftCell="D1" zoomScale="85" zoomScaleNormal="85" workbookViewId="0">
      <selection activeCell="Q14" sqref="Q14"/>
    </sheetView>
  </sheetViews>
  <sheetFormatPr defaultColWidth="8.86328125" defaultRowHeight="13.5" x14ac:dyDescent="0.4"/>
  <cols>
    <col min="1" max="1" width="8.86328125" style="1"/>
    <col min="2" max="2" width="15.53125" style="1" bestFit="1" customWidth="1"/>
    <col min="3" max="3" width="10.33203125" style="1" bestFit="1" customWidth="1"/>
    <col min="4" max="4" width="28.53125" style="1" bestFit="1" customWidth="1"/>
    <col min="5" max="5" width="12.9296875" style="1" bestFit="1" customWidth="1"/>
    <col min="6" max="6" width="17.3984375" style="1" customWidth="1"/>
    <col min="7" max="7" width="14.86328125" style="1" bestFit="1" customWidth="1"/>
    <col min="8" max="8" width="7.73046875" style="1" bestFit="1" customWidth="1"/>
    <col min="9" max="9" width="5.19921875" style="1" bestFit="1" customWidth="1"/>
    <col min="10" max="13" width="8.86328125" style="1"/>
    <col min="14" max="14" width="14.33203125" style="1" bestFit="1" customWidth="1"/>
    <col min="15" max="16384" width="8.86328125" style="1"/>
  </cols>
  <sheetData>
    <row r="1" spans="1:31" ht="13.9" x14ac:dyDescent="0.4">
      <c r="A1" s="45" t="s">
        <v>64</v>
      </c>
      <c r="B1" s="45"/>
      <c r="C1" s="45"/>
      <c r="D1" s="45"/>
      <c r="E1" s="45"/>
      <c r="F1" s="44" t="s">
        <v>37</v>
      </c>
      <c r="G1" s="44"/>
      <c r="H1" s="44"/>
      <c r="I1" s="44"/>
      <c r="J1" s="45" t="s">
        <v>39</v>
      </c>
      <c r="K1" s="45"/>
      <c r="L1" s="45"/>
      <c r="M1" s="45"/>
      <c r="N1" s="38"/>
    </row>
    <row r="2" spans="1:31" ht="15.75" x14ac:dyDescent="0.4">
      <c r="A2" s="31" t="s">
        <v>10</v>
      </c>
      <c r="B2" s="32" t="s">
        <v>11</v>
      </c>
      <c r="C2" s="32" t="s">
        <v>12</v>
      </c>
      <c r="D2" s="32" t="s">
        <v>17</v>
      </c>
      <c r="E2" s="32" t="s">
        <v>13</v>
      </c>
      <c r="F2" s="33" t="s">
        <v>35</v>
      </c>
      <c r="G2" s="33" t="s">
        <v>36</v>
      </c>
      <c r="H2" s="33" t="s">
        <v>61</v>
      </c>
      <c r="I2" s="33" t="s">
        <v>38</v>
      </c>
      <c r="J2" s="33" t="s">
        <v>35</v>
      </c>
      <c r="K2" s="33" t="s">
        <v>36</v>
      </c>
      <c r="L2" s="33" t="s">
        <v>61</v>
      </c>
      <c r="M2" s="33" t="s">
        <v>38</v>
      </c>
      <c r="N2" s="34" t="s">
        <v>18</v>
      </c>
      <c r="S2" s="5"/>
      <c r="T2" s="5"/>
      <c r="U2" s="5" t="s">
        <v>41</v>
      </c>
      <c r="V2" s="5" t="s">
        <v>42</v>
      </c>
      <c r="W2" s="5" t="s">
        <v>43</v>
      </c>
      <c r="X2" s="6" t="s">
        <v>44</v>
      </c>
      <c r="Y2" s="6" t="s">
        <v>60</v>
      </c>
      <c r="AA2" s="43" t="s">
        <v>65</v>
      </c>
      <c r="AB2" s="43"/>
      <c r="AD2" s="43" t="s">
        <v>66</v>
      </c>
      <c r="AE2" s="43"/>
    </row>
    <row r="3" spans="1:31" ht="15.75" x14ac:dyDescent="0.4">
      <c r="A3" s="25">
        <v>1</v>
      </c>
      <c r="B3" s="26">
        <v>0</v>
      </c>
      <c r="C3" s="26">
        <v>0.8</v>
      </c>
      <c r="D3" s="26" t="s">
        <v>14</v>
      </c>
      <c r="E3" s="26">
        <v>-0.4</v>
      </c>
      <c r="F3" s="26">
        <v>72.5</v>
      </c>
      <c r="G3" s="26">
        <v>5.2</v>
      </c>
      <c r="H3" s="39">
        <f t="shared" ref="H3:H13" si="0">AA3-F3</f>
        <v>-0.96679092896782493</v>
      </c>
      <c r="I3" s="26">
        <v>78</v>
      </c>
      <c r="J3" s="26">
        <v>95.6</v>
      </c>
      <c r="K3" s="26">
        <v>28.3</v>
      </c>
      <c r="L3" s="39">
        <f t="shared" ref="L3:L13" si="1">AB3-J3</f>
        <v>-24.066790928967819</v>
      </c>
      <c r="M3" s="26">
        <v>77</v>
      </c>
      <c r="N3" s="27" t="s">
        <v>40</v>
      </c>
      <c r="S3" s="46">
        <v>0</v>
      </c>
      <c r="T3" s="7" t="s">
        <v>45</v>
      </c>
      <c r="U3" s="8">
        <v>0</v>
      </c>
      <c r="V3" s="9">
        <v>-40</v>
      </c>
      <c r="W3" s="10">
        <v>80</v>
      </c>
      <c r="X3" s="11">
        <f>SQRT(POWER($AF$38-U3,2)+POWER($AF$39-V3,2)+POWER($AF$40-W3,2))</f>
        <v>71.533209071032175</v>
      </c>
      <c r="Y3" s="12">
        <f t="shared" ref="Y3:Y24" si="2">SQRT(POWER($AG$38-U3,2)+POWER($AG$39-V3,2)+POWER($AG$40-W3,2))</f>
        <v>71.533209071032175</v>
      </c>
      <c r="AA3" s="11">
        <v>71.533209071032175</v>
      </c>
      <c r="AB3" s="12">
        <v>71.533209071032175</v>
      </c>
      <c r="AD3" s="11">
        <v>104.19692893746917</v>
      </c>
      <c r="AE3" s="12">
        <v>104.19692893746917</v>
      </c>
    </row>
    <row r="4" spans="1:31" ht="15.75" x14ac:dyDescent="0.4">
      <c r="A4" s="28">
        <v>2</v>
      </c>
      <c r="B4" s="29">
        <v>1</v>
      </c>
      <c r="C4" s="29">
        <v>0.8</v>
      </c>
      <c r="D4" s="29" t="s">
        <v>14</v>
      </c>
      <c r="E4" s="29">
        <v>0</v>
      </c>
      <c r="F4" s="29">
        <v>85</v>
      </c>
      <c r="G4" s="29">
        <v>4.3</v>
      </c>
      <c r="H4" s="40">
        <f t="shared" si="0"/>
        <v>-25.695699987269052</v>
      </c>
      <c r="I4" s="29">
        <v>71</v>
      </c>
      <c r="J4" s="29">
        <v>72.8</v>
      </c>
      <c r="K4" s="29">
        <v>2.5</v>
      </c>
      <c r="L4" s="40">
        <f t="shared" si="1"/>
        <v>-13.495699987269049</v>
      </c>
      <c r="M4" s="29">
        <v>71</v>
      </c>
      <c r="N4" s="30" t="s">
        <v>40</v>
      </c>
      <c r="S4" s="47"/>
      <c r="T4" s="13" t="s">
        <v>46</v>
      </c>
      <c r="U4" s="14">
        <v>0</v>
      </c>
      <c r="V4" s="15">
        <v>-40</v>
      </c>
      <c r="W4" s="16">
        <v>150</v>
      </c>
      <c r="X4" s="11">
        <f t="shared" ref="X4:X6" si="3">SQRT(POWER($AF$38-U4,2)+POWER($AF$39-V4,2)+POWER($AF$40-W4,2))</f>
        <v>104.19692893746917</v>
      </c>
      <c r="Y4" s="12">
        <f t="shared" si="2"/>
        <v>104.19692893746917</v>
      </c>
      <c r="AA4" s="11">
        <v>59.304300012730948</v>
      </c>
      <c r="AB4" s="12">
        <v>59.304300012730948</v>
      </c>
      <c r="AD4" s="11">
        <v>96.213304693269947</v>
      </c>
      <c r="AE4" s="12">
        <v>96.213304693269947</v>
      </c>
    </row>
    <row r="5" spans="1:31" ht="15.75" x14ac:dyDescent="0.4">
      <c r="A5" s="25">
        <v>3</v>
      </c>
      <c r="B5" s="26">
        <v>2</v>
      </c>
      <c r="C5" s="26">
        <v>0.8</v>
      </c>
      <c r="D5" s="26" t="s">
        <v>15</v>
      </c>
      <c r="E5" s="26">
        <v>0.1</v>
      </c>
      <c r="F5" s="26">
        <v>19.5</v>
      </c>
      <c r="G5" s="26">
        <v>2.5</v>
      </c>
      <c r="H5" s="39">
        <f t="shared" si="0"/>
        <v>-7.8380962103093985</v>
      </c>
      <c r="I5" s="26">
        <v>51</v>
      </c>
      <c r="J5" s="26">
        <v>126</v>
      </c>
      <c r="K5" s="26">
        <v>5.6</v>
      </c>
      <c r="L5" s="39">
        <f t="shared" si="1"/>
        <v>-7.4251291377468931</v>
      </c>
      <c r="M5" s="26">
        <v>76</v>
      </c>
      <c r="N5" s="27" t="s">
        <v>40</v>
      </c>
      <c r="S5" s="46">
        <v>1</v>
      </c>
      <c r="T5" s="13" t="s">
        <v>45</v>
      </c>
      <c r="U5" s="14">
        <v>0</v>
      </c>
      <c r="V5" s="15">
        <v>0</v>
      </c>
      <c r="W5" s="16">
        <v>80</v>
      </c>
      <c r="X5" s="11">
        <f t="shared" si="3"/>
        <v>59.304300012730948</v>
      </c>
      <c r="Y5" s="12">
        <f t="shared" si="2"/>
        <v>59.304300012730948</v>
      </c>
      <c r="AA5" s="11">
        <v>11.661903789690601</v>
      </c>
      <c r="AB5" s="12">
        <v>118.57487086225311</v>
      </c>
      <c r="AD5" s="11">
        <v>76.655071586947201</v>
      </c>
      <c r="AE5" s="12">
        <v>140.71247279470288</v>
      </c>
    </row>
    <row r="6" spans="1:31" ht="15.75" x14ac:dyDescent="0.4">
      <c r="A6" s="28">
        <v>4</v>
      </c>
      <c r="B6" s="29">
        <v>3</v>
      </c>
      <c r="C6" s="29">
        <v>0.8</v>
      </c>
      <c r="D6" s="29" t="s">
        <v>14</v>
      </c>
      <c r="E6" s="29">
        <v>0.1</v>
      </c>
      <c r="F6" s="29">
        <v>85</v>
      </c>
      <c r="G6" s="29">
        <v>2.2999999999999998</v>
      </c>
      <c r="H6" s="40">
        <f t="shared" si="0"/>
        <v>-24.858500184980421</v>
      </c>
      <c r="I6" s="29">
        <v>71</v>
      </c>
      <c r="J6" s="29">
        <v>74</v>
      </c>
      <c r="K6" s="29">
        <v>2.1</v>
      </c>
      <c r="L6" s="40">
        <f t="shared" si="1"/>
        <v>-13.858500184980421</v>
      </c>
      <c r="M6" s="29">
        <v>71</v>
      </c>
      <c r="N6" s="30" t="s">
        <v>40</v>
      </c>
      <c r="S6" s="47"/>
      <c r="T6" s="13" t="s">
        <v>46</v>
      </c>
      <c r="U6" s="14">
        <v>0</v>
      </c>
      <c r="V6" s="15">
        <v>0</v>
      </c>
      <c r="W6" s="16">
        <v>150</v>
      </c>
      <c r="X6" s="11">
        <f t="shared" si="3"/>
        <v>96.213304693269947</v>
      </c>
      <c r="Y6" s="12">
        <f t="shared" si="2"/>
        <v>96.213304693269947</v>
      </c>
      <c r="AA6" s="11">
        <v>60.141499815019579</v>
      </c>
      <c r="AB6" s="12">
        <v>60.141499815019579</v>
      </c>
      <c r="AD6" s="11">
        <v>96.731587395224736</v>
      </c>
      <c r="AE6" s="12">
        <v>96.731587395224736</v>
      </c>
    </row>
    <row r="7" spans="1:31" ht="15.75" x14ac:dyDescent="0.4">
      <c r="A7" s="25">
        <v>5</v>
      </c>
      <c r="B7" s="26">
        <v>4</v>
      </c>
      <c r="C7" s="26">
        <v>0.8</v>
      </c>
      <c r="D7" s="26" t="s">
        <v>16</v>
      </c>
      <c r="E7" s="26">
        <v>0.1</v>
      </c>
      <c r="F7" s="26">
        <v>137</v>
      </c>
      <c r="G7" s="26">
        <v>2.4</v>
      </c>
      <c r="H7" s="39">
        <f t="shared" si="0"/>
        <v>-18.425129137746893</v>
      </c>
      <c r="I7" s="26">
        <v>74</v>
      </c>
      <c r="J7" s="26">
        <v>23.7</v>
      </c>
      <c r="K7" s="26">
        <v>2.6</v>
      </c>
      <c r="L7" s="39">
        <f t="shared" si="1"/>
        <v>-12.038096210309398</v>
      </c>
      <c r="M7" s="26">
        <v>48</v>
      </c>
      <c r="N7" s="27" t="s">
        <v>40</v>
      </c>
      <c r="S7" s="46">
        <v>2</v>
      </c>
      <c r="T7" s="13" t="s">
        <v>45</v>
      </c>
      <c r="U7" s="14">
        <f>$AF$38</f>
        <v>59</v>
      </c>
      <c r="V7" s="15">
        <v>10</v>
      </c>
      <c r="W7" s="16">
        <v>80</v>
      </c>
      <c r="X7" s="11">
        <f>SQRT(POWER($AF$38-U7,2)+POWER($AF$39-V7,2)+POWER($AF$40-W7,2))</f>
        <v>11.661903789690601</v>
      </c>
      <c r="Y7" s="12">
        <f t="shared" si="2"/>
        <v>118.57487086225311</v>
      </c>
      <c r="AA7" s="11">
        <v>118.57487086225311</v>
      </c>
      <c r="AB7" s="12">
        <v>11.661903789690601</v>
      </c>
      <c r="AD7" s="11">
        <v>140.71247279470288</v>
      </c>
      <c r="AE7" s="12">
        <v>76.655071586947201</v>
      </c>
    </row>
    <row r="8" spans="1:31" ht="15.75" x14ac:dyDescent="0.4">
      <c r="A8" s="28">
        <v>6</v>
      </c>
      <c r="B8" s="29">
        <v>5</v>
      </c>
      <c r="C8" s="29">
        <v>0.8</v>
      </c>
      <c r="D8" s="29" t="s">
        <v>15</v>
      </c>
      <c r="E8" s="29">
        <v>0.6</v>
      </c>
      <c r="F8" s="29">
        <v>73.3</v>
      </c>
      <c r="G8" s="29">
        <v>4.9000000000000004</v>
      </c>
      <c r="H8" s="40">
        <f t="shared" si="0"/>
        <v>-13.000746273274657</v>
      </c>
      <c r="I8" s="29">
        <v>58</v>
      </c>
      <c r="J8" s="29">
        <v>141.4</v>
      </c>
      <c r="K8" s="29">
        <v>2.2000000000000002</v>
      </c>
      <c r="L8" s="40">
        <f t="shared" si="1"/>
        <v>-8.885849812180453</v>
      </c>
      <c r="M8" s="29">
        <v>72</v>
      </c>
      <c r="N8" s="30" t="s">
        <v>40</v>
      </c>
      <c r="S8" s="47"/>
      <c r="T8" s="13" t="s">
        <v>46</v>
      </c>
      <c r="U8" s="14">
        <f>$AF$38</f>
        <v>59</v>
      </c>
      <c r="V8" s="15">
        <v>10</v>
      </c>
      <c r="W8" s="16">
        <v>150</v>
      </c>
      <c r="X8" s="11">
        <f t="shared" ref="X8:X24" si="4">SQRT(POWER($AF$38-U8,2)+POWER($AF$39-V8,2)+POWER($AF$40-W8,2))</f>
        <v>76.655071586947201</v>
      </c>
      <c r="Y8" s="12">
        <f t="shared" si="2"/>
        <v>140.71247279470288</v>
      </c>
      <c r="AA8" s="11">
        <v>60.29925372672534</v>
      </c>
      <c r="AB8" s="12">
        <v>132.51415018781955</v>
      </c>
      <c r="AD8" s="11">
        <v>96.829747495281637</v>
      </c>
      <c r="AE8" s="12">
        <v>152.64337522473747</v>
      </c>
    </row>
    <row r="9" spans="1:31" ht="15.75" customHeight="1" x14ac:dyDescent="0.4">
      <c r="A9" s="25">
        <v>7</v>
      </c>
      <c r="B9" s="26">
        <v>6</v>
      </c>
      <c r="C9" s="26">
        <v>0.8</v>
      </c>
      <c r="D9" s="26" t="s">
        <v>14</v>
      </c>
      <c r="E9" s="26">
        <v>0.6</v>
      </c>
      <c r="F9" s="26">
        <v>98</v>
      </c>
      <c r="G9" s="26">
        <v>2.2999999999999998</v>
      </c>
      <c r="H9" s="39">
        <f t="shared" si="0"/>
        <v>-13.637686138892562</v>
      </c>
      <c r="I9" s="26">
        <v>65</v>
      </c>
      <c r="J9" s="26">
        <v>91</v>
      </c>
      <c r="K9" s="26">
        <v>3</v>
      </c>
      <c r="L9" s="39">
        <f t="shared" si="1"/>
        <v>-6.6376861388925619</v>
      </c>
      <c r="M9" s="26">
        <v>63</v>
      </c>
      <c r="N9" s="27" t="s">
        <v>40</v>
      </c>
      <c r="S9" s="46">
        <v>3</v>
      </c>
      <c r="T9" s="13" t="s">
        <v>45</v>
      </c>
      <c r="U9" s="14">
        <v>0</v>
      </c>
      <c r="V9" s="15">
        <v>10</v>
      </c>
      <c r="W9" s="16">
        <v>80</v>
      </c>
      <c r="X9" s="11">
        <f>SQRT(POWER($AF$38-U9,2)+POWER($AF$39-V9,2)+POWER($AF$40-W9,2))</f>
        <v>60.141499815019579</v>
      </c>
      <c r="Y9" s="12">
        <f t="shared" si="2"/>
        <v>60.141499815019579</v>
      </c>
      <c r="AA9" s="11">
        <v>84.362313861107438</v>
      </c>
      <c r="AB9" s="12">
        <v>84.362313861107438</v>
      </c>
      <c r="AD9" s="11">
        <v>113.38871196022997</v>
      </c>
      <c r="AE9" s="12">
        <v>113.38871196022997</v>
      </c>
    </row>
    <row r="10" spans="1:31" ht="15.75" x14ac:dyDescent="0.4">
      <c r="A10" s="28">
        <v>8</v>
      </c>
      <c r="B10" s="29">
        <v>7</v>
      </c>
      <c r="C10" s="29">
        <v>0.8</v>
      </c>
      <c r="D10" s="29" t="s">
        <v>16</v>
      </c>
      <c r="E10" s="29">
        <v>0.6</v>
      </c>
      <c r="F10" s="29">
        <v>150.69999999999999</v>
      </c>
      <c r="G10" s="29">
        <v>2.9</v>
      </c>
      <c r="H10" s="40">
        <f t="shared" si="0"/>
        <v>-18.185849812180436</v>
      </c>
      <c r="I10" s="29">
        <v>68</v>
      </c>
      <c r="J10" s="29">
        <v>73.400000000000006</v>
      </c>
      <c r="K10" s="29">
        <v>3.9</v>
      </c>
      <c r="L10" s="40">
        <f t="shared" si="1"/>
        <v>-13.100746273274666</v>
      </c>
      <c r="M10" s="29">
        <v>59</v>
      </c>
      <c r="N10" s="30" t="s">
        <v>40</v>
      </c>
      <c r="S10" s="47"/>
      <c r="T10" s="13" t="s">
        <v>46</v>
      </c>
      <c r="U10" s="14">
        <v>0</v>
      </c>
      <c r="V10" s="15">
        <v>10</v>
      </c>
      <c r="W10" s="16">
        <v>150</v>
      </c>
      <c r="X10" s="11">
        <f t="shared" si="4"/>
        <v>96.731587395224736</v>
      </c>
      <c r="Y10" s="12">
        <f t="shared" si="2"/>
        <v>96.731587395224736</v>
      </c>
      <c r="AA10" s="11">
        <v>132.51415018781955</v>
      </c>
      <c r="AB10" s="12">
        <v>60.29925372672534</v>
      </c>
      <c r="AD10" s="11">
        <v>152.64337522473747</v>
      </c>
      <c r="AE10" s="12">
        <v>96.829747495281637</v>
      </c>
    </row>
    <row r="11" spans="1:31" ht="15.75" x14ac:dyDescent="0.4">
      <c r="A11" s="25">
        <v>9</v>
      </c>
      <c r="B11" s="26">
        <v>8</v>
      </c>
      <c r="C11" s="26">
        <v>0.8</v>
      </c>
      <c r="D11" s="26" t="s">
        <v>15</v>
      </c>
      <c r="E11" s="26">
        <v>1.1000000000000001</v>
      </c>
      <c r="F11" s="26">
        <v>118.6</v>
      </c>
      <c r="G11" s="26">
        <v>3.7</v>
      </c>
      <c r="H11" s="39">
        <f t="shared" si="0"/>
        <v>-8.4364851686367075</v>
      </c>
      <c r="I11" s="26">
        <v>64</v>
      </c>
      <c r="J11" s="26">
        <v>169.4</v>
      </c>
      <c r="K11" s="26">
        <v>3</v>
      </c>
      <c r="L11" s="39">
        <f t="shared" si="1"/>
        <v>-7.9689001462233762</v>
      </c>
      <c r="M11" s="26">
        <v>68</v>
      </c>
      <c r="N11" s="27" t="s">
        <v>40</v>
      </c>
      <c r="S11" s="46">
        <v>4</v>
      </c>
      <c r="T11" s="13" t="s">
        <v>45</v>
      </c>
      <c r="U11" s="14">
        <f>$AH$38</f>
        <v>-59</v>
      </c>
      <c r="V11" s="15">
        <v>10</v>
      </c>
      <c r="W11" s="16">
        <v>80</v>
      </c>
      <c r="X11" s="11">
        <f>SQRT(POWER($AF$38-U11,2)+POWER($AF$39-V11,2)+POWER($AF$40-W11,2))</f>
        <v>118.57487086225311</v>
      </c>
      <c r="Y11" s="12">
        <f t="shared" si="2"/>
        <v>11.661903789690601</v>
      </c>
      <c r="AA11" s="11">
        <v>110.16351483136329</v>
      </c>
      <c r="AB11" s="12">
        <v>161.43109985377663</v>
      </c>
      <c r="AD11" s="11">
        <v>133.70115930686615</v>
      </c>
      <c r="AE11" s="12">
        <v>178.32554500127009</v>
      </c>
    </row>
    <row r="12" spans="1:31" ht="15.75" x14ac:dyDescent="0.4">
      <c r="A12" s="28">
        <v>10</v>
      </c>
      <c r="B12" s="29">
        <v>9</v>
      </c>
      <c r="C12" s="29">
        <v>0.8</v>
      </c>
      <c r="D12" s="29" t="s">
        <v>14</v>
      </c>
      <c r="E12" s="29">
        <v>1.1000000000000001</v>
      </c>
      <c r="F12" s="29">
        <v>136.5</v>
      </c>
      <c r="G12" s="29">
        <v>2.6</v>
      </c>
      <c r="H12" s="40">
        <f t="shared" si="0"/>
        <v>-11.532004097048912</v>
      </c>
      <c r="I12" s="29">
        <v>63</v>
      </c>
      <c r="J12" s="29">
        <v>132.30000000000001</v>
      </c>
      <c r="K12" s="29">
        <v>2.9</v>
      </c>
      <c r="L12" s="40">
        <f t="shared" si="1"/>
        <v>-7.3320040970489231</v>
      </c>
      <c r="M12" s="29">
        <v>69</v>
      </c>
      <c r="N12" s="30" t="s">
        <v>40</v>
      </c>
      <c r="S12" s="47"/>
      <c r="T12" s="13" t="s">
        <v>46</v>
      </c>
      <c r="U12" s="14">
        <f>$AH$38</f>
        <v>-59</v>
      </c>
      <c r="V12" s="15">
        <v>10</v>
      </c>
      <c r="W12" s="16">
        <v>150</v>
      </c>
      <c r="X12" s="11">
        <f t="shared" si="4"/>
        <v>140.71247279470288</v>
      </c>
      <c r="Y12" s="12">
        <f t="shared" si="2"/>
        <v>76.655071586947201</v>
      </c>
      <c r="AA12" s="11">
        <v>124.96799590295109</v>
      </c>
      <c r="AB12" s="12">
        <v>124.96799590295109</v>
      </c>
      <c r="AD12" s="11">
        <v>146.14034350582318</v>
      </c>
      <c r="AE12" s="12">
        <v>146.14034350582318</v>
      </c>
    </row>
    <row r="13" spans="1:31" ht="15.75" x14ac:dyDescent="0.4">
      <c r="A13" s="35">
        <v>11</v>
      </c>
      <c r="B13" s="36">
        <v>10</v>
      </c>
      <c r="C13" s="36">
        <v>0.8</v>
      </c>
      <c r="D13" s="36" t="s">
        <v>16</v>
      </c>
      <c r="E13" s="36">
        <v>1.1000000000000001</v>
      </c>
      <c r="F13" s="36">
        <v>169.7</v>
      </c>
      <c r="G13" s="36">
        <v>2.6</v>
      </c>
      <c r="H13" s="42">
        <f t="shared" si="0"/>
        <v>-8.2689001462233591</v>
      </c>
      <c r="I13" s="36">
        <v>68</v>
      </c>
      <c r="J13" s="36">
        <v>116.8</v>
      </c>
      <c r="K13" s="36">
        <v>2.6</v>
      </c>
      <c r="L13" s="42">
        <f t="shared" si="1"/>
        <v>-6.6364851686367103</v>
      </c>
      <c r="M13" s="36">
        <v>65</v>
      </c>
      <c r="N13" s="37" t="s">
        <v>40</v>
      </c>
      <c r="S13" s="46">
        <v>5</v>
      </c>
      <c r="T13" s="13" t="s">
        <v>45</v>
      </c>
      <c r="U13" s="14">
        <f>$AF$38</f>
        <v>59</v>
      </c>
      <c r="V13" s="15">
        <v>60</v>
      </c>
      <c r="W13" s="16">
        <v>80</v>
      </c>
      <c r="X13" s="11">
        <f t="shared" si="4"/>
        <v>60.29925372672534</v>
      </c>
      <c r="Y13" s="12">
        <f t="shared" si="2"/>
        <v>132.51415018781955</v>
      </c>
      <c r="AA13" s="11">
        <v>161.43109985377663</v>
      </c>
      <c r="AB13" s="12">
        <v>110.16351483136329</v>
      </c>
      <c r="AD13" s="11">
        <v>178.32554500127009</v>
      </c>
      <c r="AE13" s="12">
        <v>133.70115930686615</v>
      </c>
    </row>
    <row r="14" spans="1:31" ht="15.75" x14ac:dyDescent="0.4">
      <c r="S14" s="47"/>
      <c r="T14" s="13" t="s">
        <v>46</v>
      </c>
      <c r="U14" s="14">
        <f>$AF$38</f>
        <v>59</v>
      </c>
      <c r="V14" s="15">
        <v>60</v>
      </c>
      <c r="W14" s="16">
        <v>150</v>
      </c>
      <c r="X14" s="11">
        <f t="shared" si="4"/>
        <v>96.829747495281637</v>
      </c>
      <c r="Y14" s="12">
        <f t="shared" si="2"/>
        <v>152.64337522473747</v>
      </c>
    </row>
    <row r="15" spans="1:31" ht="15.75" x14ac:dyDescent="0.4">
      <c r="S15" s="46">
        <v>6</v>
      </c>
      <c r="T15" s="13" t="s">
        <v>45</v>
      </c>
      <c r="U15" s="14">
        <v>0</v>
      </c>
      <c r="V15" s="15">
        <v>60</v>
      </c>
      <c r="W15" s="16">
        <v>80</v>
      </c>
      <c r="X15" s="11">
        <f t="shared" si="4"/>
        <v>84.362313861107438</v>
      </c>
      <c r="Y15" s="12">
        <f t="shared" si="2"/>
        <v>84.362313861107438</v>
      </c>
      <c r="AA15" s="41"/>
      <c r="AB15" s="41"/>
    </row>
    <row r="16" spans="1:31" ht="15.75" x14ac:dyDescent="0.4">
      <c r="A16" s="45" t="s">
        <v>63</v>
      </c>
      <c r="B16" s="45"/>
      <c r="C16" s="45"/>
      <c r="D16" s="45"/>
      <c r="E16" s="45"/>
      <c r="F16" s="44" t="s">
        <v>37</v>
      </c>
      <c r="G16" s="44"/>
      <c r="H16" s="44"/>
      <c r="I16" s="44"/>
      <c r="J16" s="45" t="s">
        <v>39</v>
      </c>
      <c r="K16" s="45"/>
      <c r="L16" s="45"/>
      <c r="M16" s="45"/>
      <c r="N16" s="38"/>
      <c r="S16" s="47"/>
      <c r="T16" s="13" t="s">
        <v>46</v>
      </c>
      <c r="U16" s="14">
        <v>0</v>
      </c>
      <c r="V16" s="15">
        <v>60</v>
      </c>
      <c r="W16" s="16">
        <v>150</v>
      </c>
      <c r="X16" s="11">
        <f t="shared" si="4"/>
        <v>113.38871196022997</v>
      </c>
      <c r="Y16" s="12">
        <f t="shared" si="2"/>
        <v>113.38871196022997</v>
      </c>
    </row>
    <row r="17" spans="1:28" ht="15.75" x14ac:dyDescent="0.4">
      <c r="A17" s="31" t="s">
        <v>10</v>
      </c>
      <c r="B17" s="32" t="s">
        <v>11</v>
      </c>
      <c r="C17" s="32" t="s">
        <v>12</v>
      </c>
      <c r="D17" s="32" t="s">
        <v>17</v>
      </c>
      <c r="E17" s="32" t="s">
        <v>13</v>
      </c>
      <c r="F17" s="33" t="s">
        <v>35</v>
      </c>
      <c r="G17" s="33" t="s">
        <v>36</v>
      </c>
      <c r="H17" s="33" t="s">
        <v>61</v>
      </c>
      <c r="I17" s="33" t="s">
        <v>38</v>
      </c>
      <c r="J17" s="33" t="s">
        <v>35</v>
      </c>
      <c r="K17" s="33" t="s">
        <v>36</v>
      </c>
      <c r="L17" s="33" t="s">
        <v>61</v>
      </c>
      <c r="M17" s="33" t="s">
        <v>38</v>
      </c>
      <c r="N17" s="34" t="s">
        <v>18</v>
      </c>
      <c r="S17" s="46">
        <v>7</v>
      </c>
      <c r="T17" s="13" t="s">
        <v>45</v>
      </c>
      <c r="U17" s="14">
        <f>$AH$38</f>
        <v>-59</v>
      </c>
      <c r="V17" s="15">
        <v>60</v>
      </c>
      <c r="W17" s="16">
        <v>80</v>
      </c>
      <c r="X17" s="11">
        <f t="shared" si="4"/>
        <v>132.51415018781955</v>
      </c>
      <c r="Y17" s="12">
        <f t="shared" si="2"/>
        <v>60.29925372672534</v>
      </c>
      <c r="AA17" s="41"/>
      <c r="AB17" s="41"/>
    </row>
    <row r="18" spans="1:28" ht="15.75" x14ac:dyDescent="0.4">
      <c r="A18" s="25">
        <v>1</v>
      </c>
      <c r="B18" s="26">
        <v>0</v>
      </c>
      <c r="C18" s="26">
        <v>0.8</v>
      </c>
      <c r="D18" s="26" t="s">
        <v>14</v>
      </c>
      <c r="E18" s="26">
        <v>-0.4</v>
      </c>
      <c r="F18" s="26">
        <v>63.8</v>
      </c>
      <c r="G18" s="26">
        <v>5.2</v>
      </c>
      <c r="H18" s="39">
        <f t="shared" ref="H18:H28" si="5">AA3-F18</f>
        <v>7.7332090710321779</v>
      </c>
      <c r="I18" s="26">
        <v>78</v>
      </c>
      <c r="J18" s="26">
        <v>92.199999999999989</v>
      </c>
      <c r="K18" s="26">
        <v>28.3</v>
      </c>
      <c r="L18" s="39">
        <f t="shared" ref="L18:L28" si="6">AB3-J18</f>
        <v>-20.666790928967814</v>
      </c>
      <c r="M18" s="26">
        <v>77</v>
      </c>
      <c r="N18" s="27" t="s">
        <v>40</v>
      </c>
      <c r="S18" s="47"/>
      <c r="T18" s="13" t="s">
        <v>46</v>
      </c>
      <c r="U18" s="14">
        <f>$AH$38</f>
        <v>-59</v>
      </c>
      <c r="V18" s="15">
        <v>60</v>
      </c>
      <c r="W18" s="16">
        <v>150</v>
      </c>
      <c r="X18" s="11">
        <f t="shared" si="4"/>
        <v>152.64337522473747</v>
      </c>
      <c r="Y18" s="12">
        <f t="shared" si="2"/>
        <v>96.829747495281637</v>
      </c>
    </row>
    <row r="19" spans="1:28" ht="15.75" x14ac:dyDescent="0.4">
      <c r="A19" s="28">
        <v>2</v>
      </c>
      <c r="B19" s="29">
        <v>1</v>
      </c>
      <c r="C19" s="29">
        <v>0.8</v>
      </c>
      <c r="D19" s="29" t="s">
        <v>14</v>
      </c>
      <c r="E19" s="29">
        <v>0</v>
      </c>
      <c r="F19" s="29">
        <v>76.3</v>
      </c>
      <c r="G19" s="29">
        <v>4.3</v>
      </c>
      <c r="H19" s="40">
        <f t="shared" si="5"/>
        <v>-16.995699987269049</v>
      </c>
      <c r="I19" s="29">
        <v>71</v>
      </c>
      <c r="J19" s="29">
        <v>69.399999999999991</v>
      </c>
      <c r="K19" s="29">
        <v>2.5</v>
      </c>
      <c r="L19" s="40">
        <f t="shared" si="6"/>
        <v>-10.095699987269043</v>
      </c>
      <c r="M19" s="29">
        <v>71</v>
      </c>
      <c r="N19" s="30" t="s">
        <v>40</v>
      </c>
      <c r="S19" s="46">
        <v>8</v>
      </c>
      <c r="T19" s="13" t="s">
        <v>45</v>
      </c>
      <c r="U19" s="14">
        <f>$AF$38</f>
        <v>59</v>
      </c>
      <c r="V19" s="15">
        <v>110</v>
      </c>
      <c r="W19" s="16">
        <v>80</v>
      </c>
      <c r="X19" s="11">
        <f t="shared" si="4"/>
        <v>110.16351483136329</v>
      </c>
      <c r="Y19" s="12">
        <f t="shared" si="2"/>
        <v>161.43109985377663</v>
      </c>
      <c r="AA19" s="41"/>
      <c r="AB19" s="41"/>
    </row>
    <row r="20" spans="1:28" ht="15.75" x14ac:dyDescent="0.4">
      <c r="A20" s="25">
        <v>3</v>
      </c>
      <c r="B20" s="26">
        <v>2</v>
      </c>
      <c r="C20" s="26">
        <v>0.8</v>
      </c>
      <c r="D20" s="26" t="s">
        <v>15</v>
      </c>
      <c r="E20" s="26">
        <v>0.1</v>
      </c>
      <c r="F20" s="26">
        <v>10.8</v>
      </c>
      <c r="G20" s="26">
        <v>2.5</v>
      </c>
      <c r="H20" s="39">
        <f t="shared" si="5"/>
        <v>0.86190378969060077</v>
      </c>
      <c r="I20" s="26">
        <v>51</v>
      </c>
      <c r="J20" s="26">
        <v>122.6</v>
      </c>
      <c r="K20" s="26">
        <v>5.6</v>
      </c>
      <c r="L20" s="39">
        <f t="shared" si="6"/>
        <v>-4.0251291377468874</v>
      </c>
      <c r="M20" s="26">
        <v>76</v>
      </c>
      <c r="N20" s="27" t="s">
        <v>40</v>
      </c>
      <c r="S20" s="47"/>
      <c r="T20" s="13" t="s">
        <v>46</v>
      </c>
      <c r="U20" s="14">
        <f>$AF$38</f>
        <v>59</v>
      </c>
      <c r="V20" s="15">
        <v>110</v>
      </c>
      <c r="W20" s="16">
        <v>150</v>
      </c>
      <c r="X20" s="11">
        <f t="shared" si="4"/>
        <v>133.70115930686615</v>
      </c>
      <c r="Y20" s="12">
        <f t="shared" si="2"/>
        <v>178.32554500127009</v>
      </c>
    </row>
    <row r="21" spans="1:28" ht="15.75" x14ac:dyDescent="0.4">
      <c r="A21" s="28">
        <v>4</v>
      </c>
      <c r="B21" s="29">
        <v>3</v>
      </c>
      <c r="C21" s="29">
        <v>0.8</v>
      </c>
      <c r="D21" s="29" t="s">
        <v>14</v>
      </c>
      <c r="E21" s="29">
        <v>0.1</v>
      </c>
      <c r="F21" s="29">
        <v>76.3</v>
      </c>
      <c r="G21" s="29">
        <v>2.2999999999999998</v>
      </c>
      <c r="H21" s="40">
        <f t="shared" si="5"/>
        <v>-16.158500184980419</v>
      </c>
      <c r="I21" s="29">
        <v>71</v>
      </c>
      <c r="J21" s="29">
        <v>70.599999999999994</v>
      </c>
      <c r="K21" s="29">
        <v>2.1</v>
      </c>
      <c r="L21" s="40">
        <f t="shared" si="6"/>
        <v>-10.458500184980416</v>
      </c>
      <c r="M21" s="29">
        <v>71</v>
      </c>
      <c r="N21" s="30" t="s">
        <v>40</v>
      </c>
      <c r="S21" s="46">
        <v>9</v>
      </c>
      <c r="T21" s="13" t="s">
        <v>45</v>
      </c>
      <c r="U21" s="14">
        <v>0</v>
      </c>
      <c r="V21" s="15">
        <v>110</v>
      </c>
      <c r="W21" s="16">
        <v>80</v>
      </c>
      <c r="X21" s="11">
        <f t="shared" si="4"/>
        <v>124.96799590295109</v>
      </c>
      <c r="Y21" s="12">
        <f t="shared" si="2"/>
        <v>124.96799590295109</v>
      </c>
      <c r="AA21" s="41"/>
      <c r="AB21" s="41"/>
    </row>
    <row r="22" spans="1:28" ht="15.75" x14ac:dyDescent="0.4">
      <c r="A22" s="25">
        <v>5</v>
      </c>
      <c r="B22" s="26">
        <v>4</v>
      </c>
      <c r="C22" s="26">
        <v>0.8</v>
      </c>
      <c r="D22" s="26" t="s">
        <v>16</v>
      </c>
      <c r="E22" s="26">
        <v>0.1</v>
      </c>
      <c r="F22" s="26">
        <v>128.30000000000001</v>
      </c>
      <c r="G22" s="26">
        <v>2.4</v>
      </c>
      <c r="H22" s="39">
        <f t="shared" si="5"/>
        <v>-9.7251291377469045</v>
      </c>
      <c r="I22" s="26">
        <v>74</v>
      </c>
      <c r="J22" s="26">
        <v>20.3</v>
      </c>
      <c r="K22" s="26">
        <v>2.6</v>
      </c>
      <c r="L22" s="39">
        <f t="shared" si="6"/>
        <v>-8.6380962103093992</v>
      </c>
      <c r="M22" s="26">
        <v>48</v>
      </c>
      <c r="N22" s="27" t="s">
        <v>40</v>
      </c>
      <c r="S22" s="47"/>
      <c r="T22" s="13" t="s">
        <v>46</v>
      </c>
      <c r="U22" s="14">
        <v>0</v>
      </c>
      <c r="V22" s="15">
        <v>110</v>
      </c>
      <c r="W22" s="16">
        <v>150</v>
      </c>
      <c r="X22" s="11">
        <f t="shared" si="4"/>
        <v>146.14034350582318</v>
      </c>
      <c r="Y22" s="12">
        <f t="shared" si="2"/>
        <v>146.14034350582318</v>
      </c>
    </row>
    <row r="23" spans="1:28" ht="15.75" x14ac:dyDescent="0.4">
      <c r="A23" s="28">
        <v>6</v>
      </c>
      <c r="B23" s="29">
        <v>5</v>
      </c>
      <c r="C23" s="29">
        <v>0.8</v>
      </c>
      <c r="D23" s="29" t="s">
        <v>15</v>
      </c>
      <c r="E23" s="29">
        <v>0.6</v>
      </c>
      <c r="F23" s="29">
        <v>64.599999999999994</v>
      </c>
      <c r="G23" s="29">
        <v>4.9000000000000004</v>
      </c>
      <c r="H23" s="40">
        <f t="shared" si="5"/>
        <v>-4.3007462732746546</v>
      </c>
      <c r="I23" s="29">
        <v>58</v>
      </c>
      <c r="J23" s="29">
        <v>138</v>
      </c>
      <c r="K23" s="29">
        <v>2.2000000000000002</v>
      </c>
      <c r="L23" s="40">
        <f t="shared" si="6"/>
        <v>-5.4858498121804473</v>
      </c>
      <c r="M23" s="29">
        <v>72</v>
      </c>
      <c r="N23" s="30" t="s">
        <v>40</v>
      </c>
      <c r="S23" s="46">
        <v>10</v>
      </c>
      <c r="T23" s="13" t="s">
        <v>45</v>
      </c>
      <c r="U23" s="14">
        <f>$AH$38</f>
        <v>-59</v>
      </c>
      <c r="V23" s="15">
        <v>110</v>
      </c>
      <c r="W23" s="16">
        <v>80</v>
      </c>
      <c r="X23" s="11">
        <f t="shared" si="4"/>
        <v>161.43109985377663</v>
      </c>
      <c r="Y23" s="12">
        <f t="shared" si="2"/>
        <v>110.16351483136329</v>
      </c>
      <c r="AA23" s="41"/>
      <c r="AB23" s="41"/>
    </row>
    <row r="24" spans="1:28" ht="15.75" x14ac:dyDescent="0.4">
      <c r="A24" s="25">
        <v>7</v>
      </c>
      <c r="B24" s="26">
        <v>6</v>
      </c>
      <c r="C24" s="26">
        <v>0.8</v>
      </c>
      <c r="D24" s="26" t="s">
        <v>14</v>
      </c>
      <c r="E24" s="26">
        <v>0.6</v>
      </c>
      <c r="F24" s="26">
        <v>89.3</v>
      </c>
      <c r="G24" s="26">
        <v>2.2999999999999998</v>
      </c>
      <c r="H24" s="39">
        <f t="shared" si="5"/>
        <v>-4.937686138892559</v>
      </c>
      <c r="I24" s="26">
        <v>65</v>
      </c>
      <c r="J24" s="26">
        <v>87.6</v>
      </c>
      <c r="K24" s="26">
        <v>3</v>
      </c>
      <c r="L24" s="39">
        <f t="shared" si="6"/>
        <v>-3.2376861388925562</v>
      </c>
      <c r="M24" s="26">
        <v>63</v>
      </c>
      <c r="N24" s="27" t="s">
        <v>40</v>
      </c>
      <c r="S24" s="47"/>
      <c r="T24" s="13" t="s">
        <v>46</v>
      </c>
      <c r="U24" s="14">
        <f>$AH$38</f>
        <v>-59</v>
      </c>
      <c r="V24" s="15">
        <v>110</v>
      </c>
      <c r="W24" s="16">
        <v>150</v>
      </c>
      <c r="X24" s="11">
        <f t="shared" si="4"/>
        <v>178.32554500127009</v>
      </c>
      <c r="Y24" s="12">
        <f t="shared" si="2"/>
        <v>133.70115930686615</v>
      </c>
    </row>
    <row r="25" spans="1:28" x14ac:dyDescent="0.4">
      <c r="A25" s="28">
        <v>8</v>
      </c>
      <c r="B25" s="29">
        <v>7</v>
      </c>
      <c r="C25" s="29">
        <v>0.8</v>
      </c>
      <c r="D25" s="29" t="s">
        <v>16</v>
      </c>
      <c r="E25" s="29">
        <v>0.6</v>
      </c>
      <c r="F25" s="29">
        <v>142</v>
      </c>
      <c r="G25" s="29">
        <v>2.9</v>
      </c>
      <c r="H25" s="40">
        <f t="shared" si="5"/>
        <v>-9.4858498121804473</v>
      </c>
      <c r="I25" s="29">
        <v>68</v>
      </c>
      <c r="J25" s="29">
        <v>70</v>
      </c>
      <c r="K25" s="29">
        <v>3.9</v>
      </c>
      <c r="L25" s="40">
        <f t="shared" si="6"/>
        <v>-9.7007462732746603</v>
      </c>
      <c r="M25" s="29">
        <v>59</v>
      </c>
      <c r="N25" s="30" t="s">
        <v>40</v>
      </c>
    </row>
    <row r="26" spans="1:28" x14ac:dyDescent="0.4">
      <c r="A26" s="25">
        <v>9</v>
      </c>
      <c r="B26" s="26">
        <v>8</v>
      </c>
      <c r="C26" s="26">
        <v>0.8</v>
      </c>
      <c r="D26" s="26" t="s">
        <v>15</v>
      </c>
      <c r="E26" s="26">
        <v>1.1000000000000001</v>
      </c>
      <c r="F26" s="26">
        <v>109.89999999999999</v>
      </c>
      <c r="G26" s="26">
        <v>3.7</v>
      </c>
      <c r="H26" s="39">
        <f t="shared" si="5"/>
        <v>0.26351483136329534</v>
      </c>
      <c r="I26" s="26">
        <v>64</v>
      </c>
      <c r="J26" s="26">
        <v>166</v>
      </c>
      <c r="K26" s="26">
        <v>3</v>
      </c>
      <c r="L26" s="39">
        <f t="shared" si="6"/>
        <v>-4.5689001462233705</v>
      </c>
      <c r="M26" s="26">
        <v>68</v>
      </c>
      <c r="N26" s="27" t="s">
        <v>40</v>
      </c>
    </row>
    <row r="27" spans="1:28" x14ac:dyDescent="0.4">
      <c r="A27" s="28">
        <v>10</v>
      </c>
      <c r="B27" s="29">
        <v>9</v>
      </c>
      <c r="C27" s="29">
        <v>0.8</v>
      </c>
      <c r="D27" s="29" t="s">
        <v>14</v>
      </c>
      <c r="E27" s="29">
        <v>1.1000000000000001</v>
      </c>
      <c r="F27" s="29">
        <v>127.8</v>
      </c>
      <c r="G27" s="29">
        <v>2.6</v>
      </c>
      <c r="H27" s="40">
        <f t="shared" si="5"/>
        <v>-2.8320040970489089</v>
      </c>
      <c r="I27" s="29">
        <v>63</v>
      </c>
      <c r="J27" s="29">
        <v>128.9</v>
      </c>
      <c r="K27" s="29">
        <v>2.9</v>
      </c>
      <c r="L27" s="40">
        <f t="shared" si="6"/>
        <v>-3.9320040970489174</v>
      </c>
      <c r="M27" s="29">
        <v>69</v>
      </c>
      <c r="N27" s="30" t="s">
        <v>40</v>
      </c>
    </row>
    <row r="28" spans="1:28" x14ac:dyDescent="0.4">
      <c r="A28" s="35">
        <v>11</v>
      </c>
      <c r="B28" s="36">
        <v>10</v>
      </c>
      <c r="C28" s="36">
        <v>0.8</v>
      </c>
      <c r="D28" s="36" t="s">
        <v>16</v>
      </c>
      <c r="E28" s="36">
        <v>1.1000000000000001</v>
      </c>
      <c r="F28" s="36">
        <v>161</v>
      </c>
      <c r="G28" s="36">
        <v>2.6</v>
      </c>
      <c r="H28" s="42">
        <f t="shared" si="5"/>
        <v>0.43109985377662952</v>
      </c>
      <c r="I28" s="36">
        <v>68</v>
      </c>
      <c r="J28" s="36">
        <v>113.39999999999999</v>
      </c>
      <c r="K28" s="36">
        <v>2.6</v>
      </c>
      <c r="L28" s="42">
        <f t="shared" si="6"/>
        <v>-3.2364851686367047</v>
      </c>
      <c r="M28" s="36">
        <v>65</v>
      </c>
      <c r="N28" s="37" t="s">
        <v>40</v>
      </c>
    </row>
    <row r="30" spans="1:28" x14ac:dyDescent="0.4">
      <c r="A30" s="25"/>
      <c r="B30" s="26" t="s">
        <v>62</v>
      </c>
      <c r="C30" s="26"/>
      <c r="D30" s="26"/>
      <c r="E30" s="26"/>
      <c r="F30" s="26">
        <v>89.3</v>
      </c>
      <c r="G30" s="26">
        <v>2</v>
      </c>
      <c r="H30" s="26"/>
      <c r="I30" s="26">
        <v>63</v>
      </c>
      <c r="J30" s="26">
        <v>87.6</v>
      </c>
      <c r="K30" s="26">
        <v>2.1</v>
      </c>
      <c r="L30" s="26"/>
      <c r="M30" s="26">
        <v>63</v>
      </c>
      <c r="N30" s="27" t="s">
        <v>40</v>
      </c>
    </row>
    <row r="32" spans="1:28" ht="13.9" x14ac:dyDescent="0.4">
      <c r="A32" s="45" t="s">
        <v>67</v>
      </c>
      <c r="B32" s="45"/>
      <c r="C32" s="45"/>
      <c r="D32" s="45"/>
      <c r="E32" s="45"/>
      <c r="F32" s="44" t="s">
        <v>37</v>
      </c>
      <c r="G32" s="44"/>
      <c r="H32" s="44"/>
      <c r="I32" s="44"/>
      <c r="J32" s="45" t="s">
        <v>39</v>
      </c>
      <c r="K32" s="45"/>
      <c r="L32" s="45"/>
      <c r="M32" s="45"/>
      <c r="N32" s="38"/>
    </row>
    <row r="33" spans="1:34" ht="14.65" x14ac:dyDescent="0.4">
      <c r="A33" s="31" t="s">
        <v>10</v>
      </c>
      <c r="B33" s="32" t="s">
        <v>11</v>
      </c>
      <c r="C33" s="32" t="s">
        <v>12</v>
      </c>
      <c r="D33" s="32" t="s">
        <v>17</v>
      </c>
      <c r="E33" s="32" t="s">
        <v>13</v>
      </c>
      <c r="F33" s="33" t="s">
        <v>35</v>
      </c>
      <c r="G33" s="33" t="s">
        <v>36</v>
      </c>
      <c r="H33" s="33" t="s">
        <v>61</v>
      </c>
      <c r="I33" s="33" t="s">
        <v>38</v>
      </c>
      <c r="J33" s="33" t="s">
        <v>35</v>
      </c>
      <c r="K33" s="33" t="s">
        <v>36</v>
      </c>
      <c r="L33" s="33" t="s">
        <v>61</v>
      </c>
      <c r="M33" s="33" t="s">
        <v>38</v>
      </c>
      <c r="N33" s="34" t="s">
        <v>18</v>
      </c>
    </row>
    <row r="34" spans="1:34" x14ac:dyDescent="0.4">
      <c r="A34" s="25">
        <v>16</v>
      </c>
      <c r="B34" s="26">
        <v>0</v>
      </c>
      <c r="C34" s="26">
        <v>1.5</v>
      </c>
      <c r="D34" s="26" t="s">
        <v>14</v>
      </c>
      <c r="E34" s="26">
        <v>-0.4</v>
      </c>
      <c r="F34" s="26">
        <v>130</v>
      </c>
      <c r="G34" s="26">
        <v>6.3</v>
      </c>
      <c r="H34" s="39">
        <f>AD3-F34</f>
        <v>-25.803071062530833</v>
      </c>
      <c r="I34" s="26">
        <v>80</v>
      </c>
      <c r="J34" s="26">
        <v>147.19999999999999</v>
      </c>
      <c r="K34" s="26">
        <v>5.0999999999999996</v>
      </c>
      <c r="L34" s="39">
        <f>AE3-J34</f>
        <v>-43.003071062530822</v>
      </c>
      <c r="M34" s="26">
        <v>77</v>
      </c>
      <c r="N34" s="27" t="s">
        <v>40</v>
      </c>
      <c r="P34" s="41"/>
      <c r="Q34" s="41"/>
    </row>
    <row r="35" spans="1:34" x14ac:dyDescent="0.4">
      <c r="A35" s="28">
        <v>17</v>
      </c>
      <c r="B35" s="29">
        <v>1</v>
      </c>
      <c r="C35" s="29">
        <v>1.5</v>
      </c>
      <c r="D35" s="29" t="s">
        <v>14</v>
      </c>
      <c r="E35" s="29">
        <v>0</v>
      </c>
      <c r="F35" s="29">
        <v>111.8</v>
      </c>
      <c r="G35" s="29">
        <v>3.3</v>
      </c>
      <c r="H35" s="40">
        <f t="shared" ref="H35:H44" si="7">AD4-F35</f>
        <v>-15.58669530673005</v>
      </c>
      <c r="I35" s="29">
        <v>75</v>
      </c>
      <c r="J35" s="29">
        <v>111.2</v>
      </c>
      <c r="K35" s="29">
        <v>2.7</v>
      </c>
      <c r="L35" s="40">
        <f t="shared" ref="L35:L43" si="8">AE4-J35</f>
        <v>-14.986695306730056</v>
      </c>
      <c r="M35" s="29">
        <v>73</v>
      </c>
      <c r="N35" s="30" t="s">
        <v>40</v>
      </c>
      <c r="P35" s="41"/>
      <c r="Q35" s="41"/>
    </row>
    <row r="36" spans="1:34" x14ac:dyDescent="0.4">
      <c r="A36" s="25">
        <v>18</v>
      </c>
      <c r="B36" s="26">
        <v>2</v>
      </c>
      <c r="C36" s="26">
        <v>1.5</v>
      </c>
      <c r="D36" s="26" t="s">
        <v>15</v>
      </c>
      <c r="E36" s="26">
        <v>0.1</v>
      </c>
      <c r="F36" s="26">
        <v>95</v>
      </c>
      <c r="G36" s="26">
        <v>2.5</v>
      </c>
      <c r="H36" s="39">
        <f t="shared" si="7"/>
        <v>-18.344928413052799</v>
      </c>
      <c r="I36" s="26">
        <v>73</v>
      </c>
      <c r="J36" s="26">
        <v>149.4</v>
      </c>
      <c r="K36" s="26">
        <v>2.5</v>
      </c>
      <c r="L36" s="39">
        <f t="shared" si="8"/>
        <v>-8.6875272052971297</v>
      </c>
      <c r="M36" s="26">
        <v>72</v>
      </c>
      <c r="N36" s="27" t="s">
        <v>40</v>
      </c>
      <c r="P36" s="41"/>
      <c r="Q36" s="41"/>
    </row>
    <row r="37" spans="1:34" ht="15.75" x14ac:dyDescent="0.4">
      <c r="A37" s="28">
        <v>19</v>
      </c>
      <c r="B37" s="29">
        <v>3</v>
      </c>
      <c r="C37" s="29">
        <v>1.5</v>
      </c>
      <c r="D37" s="29" t="s">
        <v>14</v>
      </c>
      <c r="E37" s="29">
        <v>0.1</v>
      </c>
      <c r="F37" s="29">
        <v>123.9</v>
      </c>
      <c r="G37" s="29">
        <v>6.6</v>
      </c>
      <c r="H37" s="40">
        <f t="shared" si="7"/>
        <v>-27.16841260477527</v>
      </c>
      <c r="I37" s="29">
        <v>74</v>
      </c>
      <c r="J37" s="29">
        <v>107.4</v>
      </c>
      <c r="K37" s="29">
        <v>2.6</v>
      </c>
      <c r="L37" s="40">
        <f t="shared" si="8"/>
        <v>-10.66841260477527</v>
      </c>
      <c r="M37" s="29">
        <v>74</v>
      </c>
      <c r="N37" s="30" t="s">
        <v>40</v>
      </c>
      <c r="P37" s="41"/>
      <c r="Q37" s="41"/>
      <c r="AD37" s="17"/>
      <c r="AE37" s="18"/>
      <c r="AF37" s="18" t="s">
        <v>54</v>
      </c>
      <c r="AG37" s="18" t="s">
        <v>55</v>
      </c>
      <c r="AH37" s="18" t="s">
        <v>56</v>
      </c>
    </row>
    <row r="38" spans="1:34" ht="15" x14ac:dyDescent="0.4">
      <c r="A38" s="25">
        <v>20</v>
      </c>
      <c r="B38" s="26">
        <v>4</v>
      </c>
      <c r="C38" s="26">
        <v>1.5</v>
      </c>
      <c r="D38" s="26" t="s">
        <v>16</v>
      </c>
      <c r="E38" s="26">
        <v>0.1</v>
      </c>
      <c r="F38" s="26">
        <v>148.1</v>
      </c>
      <c r="G38" s="26">
        <v>4.5</v>
      </c>
      <c r="H38" s="39">
        <f t="shared" si="7"/>
        <v>-7.3875272052971184</v>
      </c>
      <c r="I38" s="26">
        <v>76</v>
      </c>
      <c r="J38" s="26">
        <v>89.8</v>
      </c>
      <c r="K38" s="26">
        <v>3.6</v>
      </c>
      <c r="L38" s="39">
        <f t="shared" si="8"/>
        <v>-13.144928413052796</v>
      </c>
      <c r="M38" s="26">
        <v>73</v>
      </c>
      <c r="N38" s="27" t="s">
        <v>40</v>
      </c>
      <c r="P38" s="41"/>
      <c r="Q38" s="41"/>
      <c r="AD38" s="17"/>
      <c r="AE38" s="19" t="s">
        <v>57</v>
      </c>
      <c r="AF38" s="20">
        <v>59</v>
      </c>
      <c r="AG38" s="20">
        <v>-59</v>
      </c>
      <c r="AH38" s="20">
        <v>-59</v>
      </c>
    </row>
    <row r="39" spans="1:34" ht="15" x14ac:dyDescent="0.4">
      <c r="A39" s="28">
        <v>21</v>
      </c>
      <c r="B39" s="29">
        <v>5</v>
      </c>
      <c r="C39" s="29">
        <v>1.5</v>
      </c>
      <c r="D39" s="29" t="s">
        <v>15</v>
      </c>
      <c r="E39" s="29">
        <v>0.6</v>
      </c>
      <c r="F39" s="29">
        <v>104.3</v>
      </c>
      <c r="G39" s="29">
        <v>2.7</v>
      </c>
      <c r="H39" s="40">
        <f t="shared" si="7"/>
        <v>-7.4702525047183599</v>
      </c>
      <c r="I39" s="29">
        <v>63</v>
      </c>
      <c r="J39" s="29">
        <v>152.6</v>
      </c>
      <c r="K39" s="29">
        <v>2.8</v>
      </c>
      <c r="L39" s="40">
        <f t="shared" si="8"/>
        <v>4.3375224737474127E-2</v>
      </c>
      <c r="M39" s="29">
        <v>72</v>
      </c>
      <c r="N39" s="30" t="s">
        <v>40</v>
      </c>
      <c r="P39" s="41"/>
      <c r="Q39" s="41"/>
      <c r="AD39" s="17"/>
      <c r="AE39" s="21" t="s">
        <v>58</v>
      </c>
      <c r="AF39" s="22">
        <v>0</v>
      </c>
      <c r="AG39" s="22">
        <v>0</v>
      </c>
      <c r="AH39" s="22">
        <v>0</v>
      </c>
    </row>
    <row r="40" spans="1:34" ht="15" x14ac:dyDescent="0.4">
      <c r="A40" s="25">
        <v>22</v>
      </c>
      <c r="B40" s="26">
        <v>6</v>
      </c>
      <c r="C40" s="26">
        <v>1.5</v>
      </c>
      <c r="D40" s="26" t="s">
        <v>14</v>
      </c>
      <c r="E40" s="26">
        <v>0.6</v>
      </c>
      <c r="F40" s="26">
        <v>133.4</v>
      </c>
      <c r="G40" s="26">
        <v>3.3</v>
      </c>
      <c r="H40" s="39">
        <f t="shared" si="7"/>
        <v>-20.011288039770037</v>
      </c>
      <c r="I40" s="26">
        <v>74</v>
      </c>
      <c r="J40" s="26">
        <v>119.6</v>
      </c>
      <c r="K40" s="26">
        <v>2.8</v>
      </c>
      <c r="L40" s="39">
        <f t="shared" si="8"/>
        <v>-6.2112880397700252</v>
      </c>
      <c r="M40" s="26">
        <v>68</v>
      </c>
      <c r="N40" s="27" t="s">
        <v>40</v>
      </c>
      <c r="P40" s="41"/>
      <c r="Q40" s="41"/>
      <c r="AD40" s="17"/>
      <c r="AE40" s="23" t="s">
        <v>59</v>
      </c>
      <c r="AF40" s="24">
        <v>74</v>
      </c>
      <c r="AG40" s="24">
        <v>74</v>
      </c>
      <c r="AH40" s="24">
        <v>74</v>
      </c>
    </row>
    <row r="41" spans="1:34" ht="13.9" x14ac:dyDescent="0.4">
      <c r="A41" s="28">
        <v>23</v>
      </c>
      <c r="B41" s="29">
        <v>7</v>
      </c>
      <c r="C41" s="29">
        <v>1.5</v>
      </c>
      <c r="D41" s="29" t="s">
        <v>16</v>
      </c>
      <c r="E41" s="29">
        <v>0.6</v>
      </c>
      <c r="F41" s="29">
        <v>173.6</v>
      </c>
      <c r="G41" s="29">
        <v>5.7</v>
      </c>
      <c r="H41" s="40">
        <f t="shared" si="7"/>
        <v>-20.956624775262526</v>
      </c>
      <c r="I41" s="29">
        <v>73</v>
      </c>
      <c r="J41" s="29">
        <v>104.9</v>
      </c>
      <c r="K41" s="29">
        <v>3.2</v>
      </c>
      <c r="L41" s="40">
        <f t="shared" si="8"/>
        <v>-8.0702525047183684</v>
      </c>
      <c r="M41" s="29">
        <v>65</v>
      </c>
      <c r="N41" s="30" t="s">
        <v>40</v>
      </c>
      <c r="P41" s="41"/>
      <c r="Q41" s="41"/>
      <c r="AD41" s="17"/>
      <c r="AE41" s="17"/>
      <c r="AF41" s="17"/>
      <c r="AG41" s="17"/>
      <c r="AH41" s="17"/>
    </row>
    <row r="42" spans="1:34" ht="13.9" x14ac:dyDescent="0.4">
      <c r="A42" s="25">
        <v>24</v>
      </c>
      <c r="B42" s="26">
        <v>8</v>
      </c>
      <c r="C42" s="26">
        <v>1.5</v>
      </c>
      <c r="D42" s="26" t="s">
        <v>15</v>
      </c>
      <c r="E42" s="26">
        <v>1.1000000000000001</v>
      </c>
      <c r="F42" s="26">
        <v>137.19999999999999</v>
      </c>
      <c r="G42" s="26">
        <v>2.8</v>
      </c>
      <c r="H42" s="39">
        <f t="shared" si="7"/>
        <v>-3.4988406931338432</v>
      </c>
      <c r="I42" s="26">
        <v>66</v>
      </c>
      <c r="J42" s="26">
        <v>179.6</v>
      </c>
      <c r="K42" s="26">
        <v>2.6</v>
      </c>
      <c r="L42" s="39">
        <f t="shared" si="8"/>
        <v>-1.2744549987299081</v>
      </c>
      <c r="M42" s="26">
        <v>70</v>
      </c>
      <c r="N42" s="27" t="s">
        <v>40</v>
      </c>
      <c r="P42" s="41"/>
      <c r="Q42" s="41"/>
      <c r="AD42" s="17"/>
      <c r="AE42" s="17"/>
      <c r="AF42" s="17"/>
      <c r="AG42" s="17"/>
      <c r="AH42" s="17"/>
    </row>
    <row r="43" spans="1:34" ht="13.9" x14ac:dyDescent="0.4">
      <c r="A43" s="28">
        <v>25</v>
      </c>
      <c r="B43" s="29">
        <v>9</v>
      </c>
      <c r="C43" s="29">
        <v>1.5</v>
      </c>
      <c r="D43" s="29" t="s">
        <v>14</v>
      </c>
      <c r="E43" s="29">
        <v>1.1000000000000001</v>
      </c>
      <c r="F43" s="29">
        <v>153.30000000000001</v>
      </c>
      <c r="G43" s="29">
        <v>3.8</v>
      </c>
      <c r="H43" s="40">
        <f t="shared" si="7"/>
        <v>-7.1596564941768293</v>
      </c>
      <c r="I43" s="29">
        <v>69</v>
      </c>
      <c r="J43" s="29">
        <v>147.6</v>
      </c>
      <c r="K43" s="29">
        <v>3.3</v>
      </c>
      <c r="L43" s="40">
        <f t="shared" si="8"/>
        <v>-1.4596564941768122</v>
      </c>
      <c r="M43" s="29">
        <v>68</v>
      </c>
      <c r="N43" s="30" t="s">
        <v>40</v>
      </c>
      <c r="P43" s="41"/>
      <c r="Q43" s="41"/>
      <c r="AD43" s="17"/>
      <c r="AE43" s="17"/>
      <c r="AF43" s="17"/>
      <c r="AG43" s="17"/>
      <c r="AH43" s="17"/>
    </row>
    <row r="44" spans="1:34" ht="13.9" customHeight="1" x14ac:dyDescent="0.4">
      <c r="A44" s="35">
        <v>26</v>
      </c>
      <c r="B44" s="36">
        <v>10</v>
      </c>
      <c r="C44" s="36">
        <v>1.5</v>
      </c>
      <c r="D44" s="36" t="s">
        <v>16</v>
      </c>
      <c r="E44" s="36">
        <v>1.1000000000000001</v>
      </c>
      <c r="F44" s="36">
        <v>179.8</v>
      </c>
      <c r="G44" s="36">
        <v>5.5</v>
      </c>
      <c r="H44" s="42">
        <f t="shared" si="7"/>
        <v>-1.4744549987299251</v>
      </c>
      <c r="I44" s="36">
        <v>73</v>
      </c>
      <c r="J44" s="36">
        <v>129.6</v>
      </c>
      <c r="K44" s="36">
        <v>5.2</v>
      </c>
      <c r="L44" s="42">
        <f>AE13-J44</f>
        <v>4.1011593068661512</v>
      </c>
      <c r="M44" s="36">
        <v>68</v>
      </c>
      <c r="N44" s="37" t="s">
        <v>40</v>
      </c>
      <c r="P44" s="41"/>
      <c r="Q44" s="41"/>
      <c r="AD44" s="17"/>
    </row>
    <row r="45" spans="1:34" ht="13.9" x14ac:dyDescent="0.4">
      <c r="AD45" s="17"/>
    </row>
    <row r="50" spans="1:34" ht="13.9" x14ac:dyDescent="0.4">
      <c r="AF50" s="17"/>
      <c r="AG50" s="17"/>
      <c r="AH50" s="17"/>
    </row>
    <row r="51" spans="1:34" ht="13.9" x14ac:dyDescent="0.4">
      <c r="A51" s="48" t="s">
        <v>28</v>
      </c>
      <c r="B51" s="48"/>
      <c r="C51" s="48"/>
      <c r="D51" s="48"/>
      <c r="E51" s="48"/>
      <c r="F51" s="48"/>
      <c r="G51" s="48"/>
      <c r="AF51" s="17"/>
      <c r="AG51" s="17"/>
      <c r="AH51" s="17"/>
    </row>
    <row r="52" spans="1:34" ht="13.9" x14ac:dyDescent="0.4">
      <c r="A52" s="2" t="s">
        <v>10</v>
      </c>
      <c r="B52" s="2" t="s">
        <v>11</v>
      </c>
      <c r="C52" s="2" t="s">
        <v>12</v>
      </c>
      <c r="D52" s="2" t="s">
        <v>17</v>
      </c>
      <c r="E52" s="2" t="s">
        <v>13</v>
      </c>
      <c r="F52" s="2" t="s">
        <v>29</v>
      </c>
      <c r="G52" s="2" t="s">
        <v>18</v>
      </c>
      <c r="AF52" s="17"/>
      <c r="AG52" s="17"/>
      <c r="AH52" s="17"/>
    </row>
    <row r="53" spans="1:34" ht="13.9" x14ac:dyDescent="0.4">
      <c r="A53" s="1">
        <v>31</v>
      </c>
      <c r="B53" s="1" t="s">
        <v>47</v>
      </c>
      <c r="D53" s="3" t="s">
        <v>25</v>
      </c>
      <c r="F53" s="1" t="s">
        <v>30</v>
      </c>
      <c r="AF53" s="17"/>
      <c r="AG53" s="17"/>
      <c r="AH53" s="17"/>
    </row>
    <row r="54" spans="1:34" ht="13.9" x14ac:dyDescent="0.4">
      <c r="A54" s="1">
        <v>32</v>
      </c>
      <c r="B54" s="1" t="s">
        <v>47</v>
      </c>
      <c r="D54" s="3" t="s">
        <v>23</v>
      </c>
      <c r="F54" s="1" t="s">
        <v>31</v>
      </c>
      <c r="AF54" s="17"/>
      <c r="AG54" s="17"/>
      <c r="AH54" s="17"/>
    </row>
    <row r="55" spans="1:34" ht="13.9" x14ac:dyDescent="0.4">
      <c r="A55" s="1">
        <v>33</v>
      </c>
      <c r="B55" s="1" t="s">
        <v>47</v>
      </c>
      <c r="D55" s="3" t="s">
        <v>24</v>
      </c>
      <c r="F55" s="1" t="s">
        <v>31</v>
      </c>
      <c r="AF55" s="17"/>
      <c r="AG55" s="17"/>
      <c r="AH55" s="17"/>
    </row>
    <row r="56" spans="1:34" ht="13.9" x14ac:dyDescent="0.4">
      <c r="A56" s="1">
        <v>34</v>
      </c>
      <c r="B56" s="1" t="s">
        <v>48</v>
      </c>
      <c r="D56" s="3" t="s">
        <v>19</v>
      </c>
      <c r="F56" s="1" t="s">
        <v>32</v>
      </c>
      <c r="AF56" s="17"/>
      <c r="AG56" s="17"/>
      <c r="AH56" s="17"/>
    </row>
    <row r="57" spans="1:34" ht="13.9" x14ac:dyDescent="0.4">
      <c r="A57" s="1">
        <v>35</v>
      </c>
      <c r="B57" s="1" t="s">
        <v>49</v>
      </c>
      <c r="D57" s="3" t="s">
        <v>20</v>
      </c>
      <c r="F57" s="1" t="s">
        <v>33</v>
      </c>
      <c r="AF57" s="17"/>
      <c r="AG57" s="17"/>
      <c r="AH57" s="17"/>
    </row>
    <row r="58" spans="1:34" ht="13.9" x14ac:dyDescent="0.4">
      <c r="A58" s="1">
        <v>36</v>
      </c>
      <c r="B58" s="1" t="s">
        <v>50</v>
      </c>
      <c r="D58" s="3" t="s">
        <v>22</v>
      </c>
      <c r="F58" s="1" t="s">
        <v>34</v>
      </c>
      <c r="AF58" s="17"/>
      <c r="AG58" s="17"/>
      <c r="AH58" s="17"/>
    </row>
    <row r="59" spans="1:34" ht="13.9" x14ac:dyDescent="0.4">
      <c r="A59" s="1">
        <v>37</v>
      </c>
      <c r="B59" s="1" t="s">
        <v>51</v>
      </c>
      <c r="D59" s="3" t="s">
        <v>21</v>
      </c>
      <c r="F59" s="1" t="s">
        <v>34</v>
      </c>
      <c r="AE59" s="17"/>
      <c r="AF59" s="17"/>
      <c r="AG59" s="17"/>
      <c r="AH59" s="17"/>
    </row>
    <row r="60" spans="1:34" ht="13.9" x14ac:dyDescent="0.4">
      <c r="A60" s="1">
        <v>38</v>
      </c>
      <c r="B60" s="1" t="s">
        <v>52</v>
      </c>
      <c r="D60" s="3" t="s">
        <v>26</v>
      </c>
      <c r="F60" s="1" t="s">
        <v>31</v>
      </c>
      <c r="AE60" s="17"/>
      <c r="AF60" s="17"/>
      <c r="AG60" s="17"/>
      <c r="AH60" s="17"/>
    </row>
    <row r="61" spans="1:34" ht="13.9" x14ac:dyDescent="0.4">
      <c r="A61" s="1">
        <v>39</v>
      </c>
      <c r="B61" s="1" t="s">
        <v>53</v>
      </c>
      <c r="D61" s="3" t="s">
        <v>27</v>
      </c>
      <c r="E61" s="4"/>
      <c r="F61" s="1" t="s">
        <v>31</v>
      </c>
      <c r="AE61" s="17"/>
      <c r="AF61" s="17"/>
      <c r="AG61" s="17"/>
      <c r="AH61" s="17"/>
    </row>
    <row r="62" spans="1:34" ht="13.9" x14ac:dyDescent="0.4">
      <c r="AE62" s="17"/>
      <c r="AF62" s="17"/>
      <c r="AG62" s="17"/>
      <c r="AH62" s="17"/>
    </row>
    <row r="63" spans="1:34" ht="13.9" x14ac:dyDescent="0.4">
      <c r="AD63" s="17"/>
      <c r="AE63" s="17"/>
      <c r="AF63" s="17"/>
      <c r="AG63" s="17"/>
      <c r="AH63" s="17"/>
    </row>
    <row r="64" spans="1:34" ht="13.9" x14ac:dyDescent="0.4">
      <c r="AD64" s="17"/>
      <c r="AE64" s="17"/>
      <c r="AF64" s="17"/>
      <c r="AG64" s="17"/>
      <c r="AH64" s="17"/>
    </row>
    <row r="65" spans="30:34" ht="13.9" x14ac:dyDescent="0.4">
      <c r="AD65" s="17"/>
      <c r="AE65" s="17"/>
      <c r="AF65" s="17"/>
      <c r="AG65" s="17"/>
      <c r="AH65" s="17"/>
    </row>
    <row r="66" spans="30:34" ht="13.9" x14ac:dyDescent="0.4">
      <c r="AD66" s="17"/>
      <c r="AE66" s="17"/>
      <c r="AF66" s="17"/>
      <c r="AG66" s="17"/>
      <c r="AH66" s="17"/>
    </row>
    <row r="67" spans="30:34" ht="13.9" x14ac:dyDescent="0.4">
      <c r="AD67" s="17"/>
      <c r="AE67" s="17"/>
      <c r="AF67" s="17"/>
      <c r="AG67" s="17"/>
      <c r="AH67" s="17"/>
    </row>
  </sheetData>
  <mergeCells count="23">
    <mergeCell ref="S23:S24"/>
    <mergeCell ref="J1:M1"/>
    <mergeCell ref="A51:G51"/>
    <mergeCell ref="F1:I1"/>
    <mergeCell ref="A1:E1"/>
    <mergeCell ref="A16:E16"/>
    <mergeCell ref="A32:E32"/>
    <mergeCell ref="AA2:AB2"/>
    <mergeCell ref="AD2:AE2"/>
    <mergeCell ref="F16:I16"/>
    <mergeCell ref="J16:M16"/>
    <mergeCell ref="F32:I32"/>
    <mergeCell ref="J32:M32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</mergeCells>
  <phoneticPr fontId="1" type="noConversion"/>
  <conditionalFormatting sqref="H3:H1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{E6D74A85-7A71-40EE-8CA2-6FAF23248C2C}</x14:id>
        </ext>
      </extLst>
    </cfRule>
  </conditionalFormatting>
  <conditionalFormatting sqref="H18:H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{CC8E377D-7291-4E48-B822-73EB3599DDC6}</x14:id>
        </ext>
      </extLst>
    </cfRule>
  </conditionalFormatting>
  <conditionalFormatting sqref="H34:H4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1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{8AE30601-3CD0-429F-AAD4-4E34CBD755EE}</x14:id>
        </ext>
      </extLst>
    </cfRule>
  </conditionalFormatting>
  <conditionalFormatting sqref="L18:L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{B259963D-4067-41A3-BA3A-13399D3BF26E}</x14:id>
        </ext>
      </extLst>
    </cfRule>
  </conditionalFormatting>
  <conditionalFormatting sqref="L34:L4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D74A85-7A71-40EE-8CA2-6FAF23248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H3:H13</xm:sqref>
        </x14:conditionalFormatting>
        <x14:conditionalFormatting xmlns:xm="http://schemas.microsoft.com/office/excel/2006/main">
          <x14:cfRule type="dataBar" id="{CC8E377D-7291-4E48-B822-73EB3599D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H18:H28</xm:sqref>
        </x14:conditionalFormatting>
        <x14:conditionalFormatting xmlns:xm="http://schemas.microsoft.com/office/excel/2006/main">
          <x14:cfRule type="dataBar" id="{8AE30601-3CD0-429F-AAD4-4E34CBD75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L3:L13</xm:sqref>
        </x14:conditionalFormatting>
        <x14:conditionalFormatting xmlns:xm="http://schemas.microsoft.com/office/excel/2006/main">
          <x14:cfRule type="dataBar" id="{B259963D-4067-41A3-BA3A-13399D3BF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Preparation</vt:lpstr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Min</dc:creator>
  <cp:lastModifiedBy>浪浪 漆</cp:lastModifiedBy>
  <dcterms:created xsi:type="dcterms:W3CDTF">2015-06-05T18:17:20Z</dcterms:created>
  <dcterms:modified xsi:type="dcterms:W3CDTF">2025-03-24T02:23:13Z</dcterms:modified>
</cp:coreProperties>
</file>