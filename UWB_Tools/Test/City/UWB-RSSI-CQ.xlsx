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ork\UWB\Test\"/>
    </mc:Choice>
  </mc:AlternateContent>
  <xr:revisionPtr revIDLastSave="0" documentId="13_ncr:1_{2E905E20-F5BC-4338-A963-1566A70B4304}" xr6:coauthVersionLast="47" xr6:coauthVersionMax="47" xr10:uidLastSave="{00000000-0000-0000-0000-000000000000}"/>
  <bookViews>
    <workbookView xWindow="-30828" yWindow="4344" windowWidth="30936" windowHeight="16776" xr2:uid="{A383EDFA-05C0-4E13-A656-EBAD8EE1685A}"/>
  </bookViews>
  <sheets>
    <sheet name="UWB-Multi-Anchor-RSSI测试-CQ-2025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97" i="4" l="1"/>
  <c r="M72" i="4"/>
  <c r="D89" i="4"/>
  <c r="D90" i="4"/>
  <c r="D39" i="4"/>
  <c r="D40" i="4"/>
  <c r="D41" i="4"/>
  <c r="D42" i="4"/>
  <c r="D43" i="4"/>
  <c r="D48" i="4"/>
  <c r="D57" i="4"/>
  <c r="D58" i="4"/>
  <c r="D59" i="4"/>
  <c r="D65" i="4"/>
  <c r="D66" i="4"/>
  <c r="D67" i="4"/>
  <c r="M39" i="4"/>
  <c r="M45" i="4"/>
  <c r="M46" i="4"/>
  <c r="M56" i="4"/>
  <c r="M57" i="4"/>
  <c r="M58" i="4"/>
  <c r="M59" i="4"/>
  <c r="M61" i="4"/>
  <c r="M62" i="4"/>
  <c r="M63" i="4"/>
  <c r="D38" i="4"/>
  <c r="D4" i="4"/>
  <c r="AA76" i="4"/>
  <c r="M76" i="4" s="1"/>
  <c r="AA72" i="4"/>
  <c r="AA84" i="4"/>
  <c r="M84" i="4" s="1"/>
  <c r="AA73" i="4"/>
  <c r="M73" i="4" s="1"/>
  <c r="AA74" i="4"/>
  <c r="M74" i="4" s="1"/>
  <c r="AA75" i="4"/>
  <c r="M75" i="4" s="1"/>
  <c r="AA78" i="4"/>
  <c r="M78" i="4" s="1"/>
  <c r="AA79" i="4"/>
  <c r="M79" i="4" s="1"/>
  <c r="AA80" i="4"/>
  <c r="M80" i="4" s="1"/>
  <c r="AA81" i="4"/>
  <c r="M81" i="4" s="1"/>
  <c r="AA82" i="4"/>
  <c r="M82" i="4" s="1"/>
  <c r="AA83" i="4"/>
  <c r="M83" i="4" s="1"/>
  <c r="AA85" i="4"/>
  <c r="M85" i="4" s="1"/>
  <c r="AA88" i="4"/>
  <c r="M88" i="4" s="1"/>
  <c r="AA90" i="4"/>
  <c r="M90" i="4" s="1"/>
  <c r="AA91" i="4"/>
  <c r="M91" i="4" s="1"/>
  <c r="AA94" i="4"/>
  <c r="M94" i="4" s="1"/>
  <c r="AA95" i="4"/>
  <c r="M95" i="4" s="1"/>
  <c r="AA96" i="4"/>
  <c r="M96" i="4" s="1"/>
  <c r="AA97" i="4"/>
  <c r="AA99" i="4"/>
  <c r="M99" i="4" s="1"/>
  <c r="AA100" i="4"/>
  <c r="M100" i="4" s="1"/>
  <c r="AA101" i="4"/>
  <c r="M101" i="4" s="1"/>
  <c r="Z73" i="4"/>
  <c r="Z74" i="4"/>
  <c r="Z75" i="4"/>
  <c r="Z78" i="4"/>
  <c r="Z79" i="4"/>
  <c r="Z80" i="4"/>
  <c r="Z81" i="4"/>
  <c r="Z83" i="4"/>
  <c r="Z84" i="4"/>
  <c r="Z85" i="4"/>
  <c r="Z88" i="4"/>
  <c r="Z89" i="4"/>
  <c r="Z90" i="4"/>
  <c r="Z91" i="4"/>
  <c r="Z95" i="4"/>
  <c r="Z96" i="4"/>
  <c r="Z97" i="4"/>
  <c r="Z100" i="4"/>
  <c r="Z101" i="4"/>
  <c r="Z72" i="4"/>
  <c r="Y73" i="4"/>
  <c r="D73" i="4" s="1"/>
  <c r="Y74" i="4"/>
  <c r="D74" i="4" s="1"/>
  <c r="Y75" i="4"/>
  <c r="D75" i="4" s="1"/>
  <c r="Y78" i="4"/>
  <c r="D78" i="4" s="1"/>
  <c r="Y79" i="4"/>
  <c r="D79" i="4" s="1"/>
  <c r="Y80" i="4"/>
  <c r="D80" i="4" s="1"/>
  <c r="Y81" i="4"/>
  <c r="D81" i="4" s="1"/>
  <c r="Y83" i="4"/>
  <c r="D83" i="4" s="1"/>
  <c r="Y84" i="4"/>
  <c r="D84" i="4" s="1"/>
  <c r="Y85" i="4"/>
  <c r="D85" i="4" s="1"/>
  <c r="Y88" i="4"/>
  <c r="D88" i="4" s="1"/>
  <c r="Y89" i="4"/>
  <c r="Y90" i="4"/>
  <c r="Y91" i="4"/>
  <c r="D91" i="4" s="1"/>
  <c r="Y96" i="4"/>
  <c r="D96" i="4" s="1"/>
  <c r="Y97" i="4"/>
  <c r="D97" i="4" s="1"/>
  <c r="Y100" i="4"/>
  <c r="D100" i="4" s="1"/>
  <c r="Y101" i="4"/>
  <c r="D101" i="4" s="1"/>
  <c r="Y72" i="4"/>
  <c r="D72" i="4" s="1"/>
  <c r="V99" i="4"/>
  <c r="Z99" i="4" s="1"/>
  <c r="V98" i="4"/>
  <c r="Y98" i="4" s="1"/>
  <c r="D98" i="4" s="1"/>
  <c r="V93" i="4"/>
  <c r="Z93" i="4" s="1"/>
  <c r="V92" i="4"/>
  <c r="Y92" i="4" s="1"/>
  <c r="D92" i="4" s="1"/>
  <c r="V87" i="4"/>
  <c r="Y87" i="4" s="1"/>
  <c r="D87" i="4" s="1"/>
  <c r="V86" i="4"/>
  <c r="Y86" i="4" s="1"/>
  <c r="D86" i="4" s="1"/>
  <c r="V81" i="4"/>
  <c r="V80" i="4"/>
  <c r="V95" i="4"/>
  <c r="Y95" i="4" s="1"/>
  <c r="D95" i="4" s="1"/>
  <c r="V94" i="4"/>
  <c r="Y94" i="4" s="1"/>
  <c r="D94" i="4" s="1"/>
  <c r="V89" i="4"/>
  <c r="AA89" i="4" s="1"/>
  <c r="M89" i="4" s="1"/>
  <c r="V88" i="4"/>
  <c r="V83" i="4"/>
  <c r="V82" i="4"/>
  <c r="Y82" i="4" s="1"/>
  <c r="D82" i="4" s="1"/>
  <c r="V77" i="4"/>
  <c r="Y77" i="4" s="1"/>
  <c r="D77" i="4" s="1"/>
  <c r="V76" i="4"/>
  <c r="Y76" i="4" s="1"/>
  <c r="D76" i="4" s="1"/>
  <c r="AA63" i="4"/>
  <c r="AA39" i="4"/>
  <c r="AA40" i="4"/>
  <c r="M40" i="4" s="1"/>
  <c r="AA41" i="4"/>
  <c r="M41" i="4" s="1"/>
  <c r="AA42" i="4"/>
  <c r="M42" i="4" s="1"/>
  <c r="AA43" i="4"/>
  <c r="M43" i="4" s="1"/>
  <c r="AA44" i="4"/>
  <c r="M44" i="4" s="1"/>
  <c r="AA45" i="4"/>
  <c r="AA49" i="4"/>
  <c r="M49" i="4" s="1"/>
  <c r="AA50" i="4"/>
  <c r="M50" i="4" s="1"/>
  <c r="AA51" i="4"/>
  <c r="M51" i="4" s="1"/>
  <c r="AA53" i="4"/>
  <c r="M53" i="4" s="1"/>
  <c r="AA56" i="4"/>
  <c r="AA57" i="4"/>
  <c r="AA58" i="4"/>
  <c r="AA59" i="4"/>
  <c r="AA62" i="4"/>
  <c r="AA66" i="4"/>
  <c r="M66" i="4" s="1"/>
  <c r="AA67" i="4"/>
  <c r="M67" i="4" s="1"/>
  <c r="AA38" i="4"/>
  <c r="M38" i="4" s="1"/>
  <c r="Z39" i="4"/>
  <c r="Z40" i="4"/>
  <c r="Z41" i="4"/>
  <c r="Z42" i="4"/>
  <c r="Z43" i="4"/>
  <c r="Z44" i="4"/>
  <c r="Z45" i="4"/>
  <c r="Z46" i="4"/>
  <c r="Z50" i="4"/>
  <c r="Z51" i="4"/>
  <c r="Z56" i="4"/>
  <c r="Z57" i="4"/>
  <c r="Z58" i="4"/>
  <c r="Z59" i="4"/>
  <c r="Z61" i="4"/>
  <c r="Z62" i="4"/>
  <c r="Z63" i="4"/>
  <c r="Z66" i="4"/>
  <c r="Z67" i="4"/>
  <c r="Z38" i="4"/>
  <c r="Y39" i="4"/>
  <c r="Y40" i="4"/>
  <c r="Y41" i="4"/>
  <c r="Y42" i="4"/>
  <c r="Y43" i="4"/>
  <c r="Y44" i="4"/>
  <c r="D44" i="4" s="1"/>
  <c r="Y45" i="4"/>
  <c r="D45" i="4" s="1"/>
  <c r="Y46" i="4"/>
  <c r="D46" i="4" s="1"/>
  <c r="Y47" i="4"/>
  <c r="D47" i="4" s="1"/>
  <c r="Y50" i="4"/>
  <c r="D50" i="4" s="1"/>
  <c r="Y51" i="4"/>
  <c r="D51" i="4" s="1"/>
  <c r="Y56" i="4"/>
  <c r="D56" i="4" s="1"/>
  <c r="Y57" i="4"/>
  <c r="Y58" i="4"/>
  <c r="Y61" i="4"/>
  <c r="D61" i="4" s="1"/>
  <c r="Y62" i="4"/>
  <c r="D62" i="4" s="1"/>
  <c r="Y63" i="4"/>
  <c r="D63" i="4" s="1"/>
  <c r="Y64" i="4"/>
  <c r="D64" i="4" s="1"/>
  <c r="Y66" i="4"/>
  <c r="Y67" i="4"/>
  <c r="Y38" i="4"/>
  <c r="V65" i="4"/>
  <c r="Y65" i="4" s="1"/>
  <c r="V64" i="4"/>
  <c r="Z64" i="4" s="1"/>
  <c r="V59" i="4"/>
  <c r="Y59" i="4" s="1"/>
  <c r="V58" i="4"/>
  <c r="V53" i="4"/>
  <c r="Y53" i="4" s="1"/>
  <c r="D53" i="4" s="1"/>
  <c r="V52" i="4"/>
  <c r="Z52" i="4" s="1"/>
  <c r="V47" i="4"/>
  <c r="Z47" i="4" s="1"/>
  <c r="V46" i="4"/>
  <c r="AA46" i="4" s="1"/>
  <c r="V61" i="4"/>
  <c r="AA61" i="4" s="1"/>
  <c r="V60" i="4"/>
  <c r="AA60" i="4" s="1"/>
  <c r="M60" i="4" s="1"/>
  <c r="V55" i="4"/>
  <c r="AA55" i="4" s="1"/>
  <c r="M55" i="4" s="1"/>
  <c r="V54" i="4"/>
  <c r="AA54" i="4" s="1"/>
  <c r="M54" i="4" s="1"/>
  <c r="V49" i="4"/>
  <c r="Y49" i="4" s="1"/>
  <c r="D49" i="4" s="1"/>
  <c r="V48" i="4"/>
  <c r="Y48" i="4" s="1"/>
  <c r="V43" i="4"/>
  <c r="V42" i="4"/>
  <c r="Y4" i="4"/>
  <c r="C102" i="4"/>
  <c r="F102" i="4"/>
  <c r="L102" i="4"/>
  <c r="O102" i="4"/>
  <c r="P102" i="4"/>
  <c r="R102" i="4"/>
  <c r="C68" i="4"/>
  <c r="F68" i="4"/>
  <c r="L68" i="4"/>
  <c r="O68" i="4"/>
  <c r="P68" i="4"/>
  <c r="R68" i="4"/>
  <c r="C34" i="4"/>
  <c r="F34" i="4"/>
  <c r="H34" i="4"/>
  <c r="K34" i="4"/>
  <c r="P34" i="4"/>
  <c r="Q34" i="4"/>
  <c r="Y32" i="4"/>
  <c r="D32" i="4" s="1"/>
  <c r="V31" i="4"/>
  <c r="AA31" i="4" s="1"/>
  <c r="V30" i="4"/>
  <c r="AA30" i="4" s="1"/>
  <c r="V25" i="4"/>
  <c r="AA25" i="4" s="1"/>
  <c r="V24" i="4"/>
  <c r="AA24" i="4" s="1"/>
  <c r="V19" i="4"/>
  <c r="AA19" i="4" s="1"/>
  <c r="V18" i="4"/>
  <c r="Y18" i="4" s="1"/>
  <c r="D18" i="4" s="1"/>
  <c r="V13" i="4"/>
  <c r="Y13" i="4" s="1"/>
  <c r="D13" i="4" s="1"/>
  <c r="V12" i="4"/>
  <c r="Z12" i="4" s="1"/>
  <c r="I12" i="4" s="1"/>
  <c r="V27" i="4"/>
  <c r="Z27" i="4" s="1"/>
  <c r="I27" i="4" s="1"/>
  <c r="V26" i="4"/>
  <c r="AA26" i="4" s="1"/>
  <c r="V21" i="4"/>
  <c r="Z21" i="4" s="1"/>
  <c r="I21" i="4" s="1"/>
  <c r="V20" i="4"/>
  <c r="Z20" i="4" s="1"/>
  <c r="I20" i="4" s="1"/>
  <c r="V15" i="4"/>
  <c r="Z15" i="4" s="1"/>
  <c r="I15" i="4" s="1"/>
  <c r="V14" i="4"/>
  <c r="AA14" i="4" s="1"/>
  <c r="V9" i="4"/>
  <c r="Y9" i="4" s="1"/>
  <c r="D9" i="4" s="1"/>
  <c r="V8" i="4"/>
  <c r="Y8" i="4" s="1"/>
  <c r="D8" i="4" s="1"/>
  <c r="Y22" i="4"/>
  <c r="D22" i="4" s="1"/>
  <c r="AA5" i="4"/>
  <c r="AA6" i="4"/>
  <c r="AA7" i="4"/>
  <c r="AA10" i="4"/>
  <c r="AA11" i="4"/>
  <c r="AA16" i="4"/>
  <c r="AA17" i="4"/>
  <c r="AA22" i="4"/>
  <c r="AA23" i="4"/>
  <c r="AA28" i="4"/>
  <c r="AA29" i="4"/>
  <c r="AA32" i="4"/>
  <c r="AA33" i="4"/>
  <c r="Z5" i="4"/>
  <c r="I5" i="4" s="1"/>
  <c r="Z6" i="4"/>
  <c r="I6" i="4" s="1"/>
  <c r="Z7" i="4"/>
  <c r="I7" i="4" s="1"/>
  <c r="Z10" i="4"/>
  <c r="I10" i="4" s="1"/>
  <c r="Z11" i="4"/>
  <c r="I11" i="4" s="1"/>
  <c r="Z16" i="4"/>
  <c r="I16" i="4" s="1"/>
  <c r="Z17" i="4"/>
  <c r="I17" i="4" s="1"/>
  <c r="Z22" i="4"/>
  <c r="I22" i="4" s="1"/>
  <c r="Z23" i="4"/>
  <c r="I23" i="4" s="1"/>
  <c r="Z28" i="4"/>
  <c r="I28" i="4" s="1"/>
  <c r="Z29" i="4"/>
  <c r="I29" i="4" s="1"/>
  <c r="Z32" i="4"/>
  <c r="I32" i="4" s="1"/>
  <c r="Z33" i="4"/>
  <c r="I33" i="4" s="1"/>
  <c r="Y5" i="4"/>
  <c r="D5" i="4" s="1"/>
  <c r="Y6" i="4"/>
  <c r="D6" i="4" s="1"/>
  <c r="Y7" i="4"/>
  <c r="D7" i="4" s="1"/>
  <c r="Y10" i="4"/>
  <c r="D10" i="4" s="1"/>
  <c r="Y11" i="4"/>
  <c r="D11" i="4" s="1"/>
  <c r="Y16" i="4"/>
  <c r="D16" i="4" s="1"/>
  <c r="Y17" i="4"/>
  <c r="D17" i="4" s="1"/>
  <c r="Y23" i="4"/>
  <c r="D23" i="4" s="1"/>
  <c r="Y28" i="4"/>
  <c r="D28" i="4" s="1"/>
  <c r="Y29" i="4"/>
  <c r="D29" i="4" s="1"/>
  <c r="Y33" i="4"/>
  <c r="D33" i="4" s="1"/>
  <c r="Z4" i="4"/>
  <c r="I4" i="4" s="1"/>
  <c r="AA4" i="4"/>
  <c r="AA87" i="4" l="1"/>
  <c r="M87" i="4" s="1"/>
  <c r="Z87" i="4"/>
  <c r="AA98" i="4"/>
  <c r="M98" i="4" s="1"/>
  <c r="Z98" i="4"/>
  <c r="Z82" i="4"/>
  <c r="Z54" i="4"/>
  <c r="Y54" i="4"/>
  <c r="D54" i="4" s="1"/>
  <c r="Z53" i="4"/>
  <c r="Y99" i="4"/>
  <c r="D99" i="4" s="1"/>
  <c r="Z60" i="4"/>
  <c r="Z86" i="4"/>
  <c r="AA77" i="4"/>
  <c r="M77" i="4" s="1"/>
  <c r="Y52" i="4"/>
  <c r="D52" i="4" s="1"/>
  <c r="AA65" i="4"/>
  <c r="M65" i="4" s="1"/>
  <c r="AA48" i="4"/>
  <c r="M48" i="4" s="1"/>
  <c r="AA93" i="4"/>
  <c r="M93" i="4" s="1"/>
  <c r="Y93" i="4"/>
  <c r="D93" i="4" s="1"/>
  <c r="Z55" i="4"/>
  <c r="AA64" i="4"/>
  <c r="M64" i="4" s="1"/>
  <c r="AA47" i="4"/>
  <c r="M47" i="4" s="1"/>
  <c r="Z94" i="4"/>
  <c r="AA92" i="4"/>
  <c r="M92" i="4" s="1"/>
  <c r="AA86" i="4"/>
  <c r="M86" i="4" s="1"/>
  <c r="AA52" i="4"/>
  <c r="M52" i="4" s="1"/>
  <c r="Z65" i="4"/>
  <c r="Z49" i="4"/>
  <c r="Z77" i="4"/>
  <c r="Y60" i="4"/>
  <c r="D60" i="4" s="1"/>
  <c r="Y55" i="4"/>
  <c r="D55" i="4" s="1"/>
  <c r="Z48" i="4"/>
  <c r="Z92" i="4"/>
  <c r="Z76" i="4"/>
  <c r="Y25" i="4"/>
  <c r="D25" i="4" s="1"/>
  <c r="Z8" i="4"/>
  <c r="I8" i="4" s="1"/>
  <c r="AA27" i="4"/>
  <c r="Y15" i="4"/>
  <c r="D15" i="4" s="1"/>
  <c r="Y27" i="4"/>
  <c r="D27" i="4" s="1"/>
  <c r="Y12" i="4"/>
  <c r="D12" i="4" s="1"/>
  <c r="Y21" i="4"/>
  <c r="D21" i="4" s="1"/>
  <c r="Z26" i="4"/>
  <c r="I26" i="4" s="1"/>
  <c r="Y26" i="4"/>
  <c r="D26" i="4" s="1"/>
  <c r="Z9" i="4"/>
  <c r="I9" i="4" s="1"/>
  <c r="AA20" i="4"/>
  <c r="AA21" i="4"/>
  <c r="AA12" i="4"/>
  <c r="Y14" i="4"/>
  <c r="D14" i="4" s="1"/>
  <c r="Y20" i="4"/>
  <c r="D20" i="4" s="1"/>
  <c r="AA15" i="4"/>
  <c r="Y31" i="4"/>
  <c r="D31" i="4" s="1"/>
  <c r="Y24" i="4"/>
  <c r="D24" i="4" s="1"/>
  <c r="Z14" i="4"/>
  <c r="I14" i="4" s="1"/>
  <c r="AA18" i="4"/>
  <c r="AA9" i="4"/>
  <c r="Z19" i="4"/>
  <c r="I19" i="4" s="1"/>
  <c r="Y19" i="4"/>
  <c r="D19" i="4" s="1"/>
  <c r="AA13" i="4"/>
  <c r="Z30" i="4"/>
  <c r="I30" i="4" s="1"/>
  <c r="Z13" i="4"/>
  <c r="I13" i="4" s="1"/>
  <c r="AA8" i="4"/>
  <c r="Y30" i="4"/>
  <c r="D30" i="4" s="1"/>
  <c r="Z25" i="4"/>
  <c r="I25" i="4" s="1"/>
  <c r="Z24" i="4"/>
  <c r="I24" i="4" s="1"/>
  <c r="Z18" i="4"/>
  <c r="I18" i="4" s="1"/>
  <c r="Z31" i="4"/>
  <c r="I31" i="4" s="1"/>
  <c r="I34" i="4" l="1"/>
  <c r="D34" i="4"/>
</calcChain>
</file>

<file path=xl/sharedStrings.xml><?xml version="1.0" encoding="utf-8"?>
<sst xmlns="http://schemas.openxmlformats.org/spreadsheetml/2006/main" count="290" uniqueCount="37">
  <si>
    <t>RSSI</t>
    <phoneticPr fontId="1" type="noConversion"/>
  </si>
  <si>
    <t>Master-Anchor</t>
    <phoneticPr fontId="1" type="noConversion"/>
  </si>
  <si>
    <t>Master-Gate-Slave-Anchor</t>
    <phoneticPr fontId="1" type="noConversion"/>
  </si>
  <si>
    <t>Slave-Gate-Slave-Anchor</t>
    <phoneticPr fontId="1" type="noConversion"/>
  </si>
  <si>
    <t>Mobile</t>
    <phoneticPr fontId="1" type="noConversion"/>
  </si>
  <si>
    <t>A</t>
    <phoneticPr fontId="1" type="noConversion"/>
  </si>
  <si>
    <t>B</t>
    <phoneticPr fontId="1" type="noConversion"/>
  </si>
  <si>
    <t>ToF-Avg</t>
    <phoneticPr fontId="1" type="noConversion"/>
  </si>
  <si>
    <t>ToF-Std</t>
    <phoneticPr fontId="1" type="noConversion"/>
  </si>
  <si>
    <t>Z</t>
    <phoneticPr fontId="1" type="noConversion"/>
  </si>
  <si>
    <t>Height</t>
    <phoneticPr fontId="1" type="noConversion"/>
  </si>
  <si>
    <t>M</t>
    <phoneticPr fontId="1" type="noConversion"/>
  </si>
  <si>
    <t>S1</t>
    <phoneticPr fontId="1" type="noConversion"/>
  </si>
  <si>
    <t>S2</t>
    <phoneticPr fontId="1" type="noConversion"/>
  </si>
  <si>
    <t>RSSI-M</t>
    <phoneticPr fontId="1" type="noConversion"/>
  </si>
  <si>
    <t>RSSI-MS</t>
    <phoneticPr fontId="1" type="noConversion"/>
  </si>
  <si>
    <t>RSSI-SS</t>
    <phoneticPr fontId="1" type="noConversion"/>
  </si>
  <si>
    <t>x</t>
    <phoneticPr fontId="1" type="noConversion"/>
  </si>
  <si>
    <t>y</t>
    <phoneticPr fontId="1" type="noConversion"/>
  </si>
  <si>
    <t>z</t>
    <phoneticPr fontId="1" type="noConversion"/>
  </si>
  <si>
    <t>X</t>
    <phoneticPr fontId="1" type="noConversion"/>
  </si>
  <si>
    <t>Y</t>
    <phoneticPr fontId="1" type="noConversion"/>
  </si>
  <si>
    <t>Anchor坐标</t>
    <phoneticPr fontId="1" type="noConversion"/>
  </si>
  <si>
    <t>测试点位：坐标-距离表</t>
    <phoneticPr fontId="1" type="noConversion"/>
  </si>
  <si>
    <t>D-M</t>
    <phoneticPr fontId="1" type="noConversion"/>
  </si>
  <si>
    <t>D-S1</t>
    <phoneticPr fontId="1" type="noConversion"/>
  </si>
  <si>
    <t>D-S2</t>
    <phoneticPr fontId="1" type="noConversion"/>
  </si>
  <si>
    <t>Plan B</t>
    <phoneticPr fontId="1" type="noConversion"/>
  </si>
  <si>
    <t>偶发持续信号差</t>
    <phoneticPr fontId="1" type="noConversion"/>
  </si>
  <si>
    <t>9..6</t>
    <phoneticPr fontId="1" type="noConversion"/>
  </si>
  <si>
    <t>Plan B-1</t>
    <phoneticPr fontId="1" type="noConversion"/>
  </si>
  <si>
    <t>Plan B-2</t>
    <phoneticPr fontId="1" type="noConversion"/>
  </si>
  <si>
    <t>Plan-B
M: 110,5°
MGSA: 60,90°
Gate：95</t>
    <phoneticPr fontId="1" type="noConversion"/>
  </si>
  <si>
    <t>Plan-B1
90,30°
Gate：95</t>
    <phoneticPr fontId="1" type="noConversion"/>
  </si>
  <si>
    <t>Plan-B2
95,80°
Gate：95</t>
    <phoneticPr fontId="1" type="noConversion"/>
  </si>
  <si>
    <t>汇总</t>
    <phoneticPr fontId="1" type="noConversion"/>
  </si>
  <si>
    <t>Dis-Res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</si>
</sst>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_ "/>
    <numFmt numFmtId="177" formatCode="0.0_ "/>
    <numFmt numFmtId="178" formatCode="0.0_ ;[Red]\-0.0\ "/>
  </numFmts>
  <fonts count="1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0"/>
      <color rgb="FF000000"/>
      <name val="Microsoft YaHei UI"/>
      <family val="2"/>
      <charset val="134"/>
    </font>
    <font>
      <sz val="10"/>
      <color rgb="FF000000"/>
      <name val="Microsoft YaHei UI"/>
      <family val="2"/>
      <charset val="134"/>
    </font>
    <font>
      <b/>
      <sz val="11"/>
      <color theme="1"/>
      <name val="Microsoft YaHei UI"/>
      <family val="2"/>
      <charset val="134"/>
    </font>
    <font>
      <b/>
      <sz val="11"/>
      <color rgb="FFFFFFFF"/>
      <name val="Microsoft YaHei UI"/>
      <family val="2"/>
      <charset val="134"/>
    </font>
    <font>
      <b/>
      <sz val="11"/>
      <color rgb="FF000000"/>
      <name val="Microsoft YaHei UI"/>
      <family val="2"/>
      <charset val="134"/>
    </font>
    <font>
      <sz val="11"/>
      <color rgb="FF000000"/>
      <name val="Microsoft YaHei UI"/>
      <family val="2"/>
      <charset val="134"/>
    </font>
    <font>
      <b/>
      <sz val="12"/>
      <color theme="1"/>
      <name val="Microsoft YaHei UI"/>
      <family val="2"/>
      <charset val="134"/>
    </font>
    <font>
      <b/>
      <sz val="11"/>
      <color theme="1"/>
      <name val="等线"/>
      <family val="3"/>
      <charset val="134"/>
      <scheme val="minor"/>
    </font>
    <font>
      <b/>
      <sz val="11"/>
      <color theme="8" tint="-0.249977111117893"/>
      <name val="Microsoft YaHei UI"/>
      <family val="2"/>
      <charset val="134"/>
    </font>
    <font>
      <b/>
      <sz val="11"/>
      <color rgb="FF000000"/>
      <name val="等线"/>
      <family val="3"/>
      <charset val="134"/>
      <scheme val="minor"/>
    </font>
    <font>
      <b/>
      <sz val="10"/>
      <color rgb="FF0070C0"/>
      <name val="Microsoft YaHei UI"/>
      <family val="2"/>
      <charset val="134"/>
    </font>
  </fonts>
  <fills count="1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ACDE4"/>
        <bgColor indexed="64"/>
      </patternFill>
    </fill>
    <fill>
      <patternFill patternType="solid">
        <fgColor rgb="FF67418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1EAFF"/>
        <bgColor indexed="64"/>
      </patternFill>
    </fill>
    <fill>
      <patternFill patternType="solid">
        <fgColor rgb="FF430A5D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D2E9E9"/>
        <bgColor indexed="64"/>
      </patternFill>
    </fill>
    <fill>
      <patternFill patternType="solid">
        <fgColor rgb="FFC4DFDF"/>
        <bgColor indexed="64"/>
      </patternFill>
    </fill>
    <fill>
      <patternFill patternType="solid">
        <fgColor theme="8" tint="0.39997558519241921"/>
        <bgColor indexed="64"/>
      </patternFill>
    </fill>
  </fills>
  <borders count="38">
    <border>
      <left/>
      <right/>
      <top/>
      <bottom/>
      <diagonal/>
    </border>
    <border>
      <left/>
      <right/>
      <top style="dashed">
        <color rgb="FFDDDDDD"/>
      </top>
      <bottom style="dashed">
        <color rgb="FFDDDDDD"/>
      </bottom>
      <diagonal/>
    </border>
    <border>
      <left/>
      <right/>
      <top/>
      <bottom style="dashed">
        <color rgb="FFDDDDDD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430A5D"/>
      </top>
      <bottom style="thin">
        <color rgb="FF430A5D"/>
      </bottom>
      <diagonal/>
    </border>
    <border>
      <left/>
      <right/>
      <top style="dashed">
        <color rgb="FFDDDDDD"/>
      </top>
      <bottom style="thin">
        <color rgb="FF430A5D"/>
      </bottom>
      <diagonal/>
    </border>
    <border>
      <left style="dashed">
        <color rgb="FF674188"/>
      </left>
      <right style="dashed">
        <color rgb="FF674188"/>
      </right>
      <top style="dashed">
        <color rgb="FF674188"/>
      </top>
      <bottom style="dashed">
        <color rgb="FF674188"/>
      </bottom>
      <diagonal/>
    </border>
    <border>
      <left/>
      <right style="dashed">
        <color rgb="FF674188"/>
      </right>
      <top style="dashed">
        <color rgb="FF674188"/>
      </top>
      <bottom style="dashed">
        <color rgb="FF674188"/>
      </bottom>
      <diagonal/>
    </border>
    <border>
      <left style="dashed">
        <color rgb="FF674188"/>
      </left>
      <right style="dashed">
        <color rgb="FF674188"/>
      </right>
      <top/>
      <bottom style="dashed">
        <color rgb="FF674188"/>
      </bottom>
      <diagonal/>
    </border>
    <border>
      <left/>
      <right style="dashed">
        <color rgb="FF674188"/>
      </right>
      <top/>
      <bottom style="dashed">
        <color rgb="FF67418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C4DFDF"/>
      </left>
      <right/>
      <top style="thin">
        <color rgb="FFC4DFDF"/>
      </top>
      <bottom style="dashed">
        <color rgb="FFC4DFDF"/>
      </bottom>
      <diagonal/>
    </border>
    <border>
      <left/>
      <right/>
      <top style="thin">
        <color rgb="FFC4DFDF"/>
      </top>
      <bottom style="dashed">
        <color rgb="FFC4DFDF"/>
      </bottom>
      <diagonal/>
    </border>
    <border>
      <left/>
      <right style="thin">
        <color rgb="FFC4DFDF"/>
      </right>
      <top style="thin">
        <color rgb="FFC4DFDF"/>
      </top>
      <bottom style="dashed">
        <color rgb="FFC4DFDF"/>
      </bottom>
      <diagonal/>
    </border>
    <border>
      <left style="thin">
        <color rgb="FFC4DFDF"/>
      </left>
      <right/>
      <top style="dashed">
        <color rgb="FFC4DFDF"/>
      </top>
      <bottom style="dashed">
        <color rgb="FFC4DFDF"/>
      </bottom>
      <diagonal/>
    </border>
    <border>
      <left/>
      <right/>
      <top style="dashed">
        <color rgb="FFC4DFDF"/>
      </top>
      <bottom style="dashed">
        <color rgb="FFC4DFDF"/>
      </bottom>
      <diagonal/>
    </border>
    <border>
      <left/>
      <right style="thin">
        <color rgb="FFC4DFDF"/>
      </right>
      <top style="dashed">
        <color rgb="FFC4DFDF"/>
      </top>
      <bottom style="dashed">
        <color rgb="FFC4DFDF"/>
      </bottom>
      <diagonal/>
    </border>
    <border>
      <left style="thin">
        <color rgb="FFC4DFDF"/>
      </left>
      <right/>
      <top style="dashed">
        <color rgb="FFC4DFDF"/>
      </top>
      <bottom style="thin">
        <color rgb="FFC4DFDF"/>
      </bottom>
      <diagonal/>
    </border>
    <border>
      <left/>
      <right/>
      <top style="dashed">
        <color rgb="FFC4DFDF"/>
      </top>
      <bottom style="thin">
        <color rgb="FFC4DFDF"/>
      </bottom>
      <diagonal/>
    </border>
    <border>
      <left/>
      <right style="thin">
        <color rgb="FFC4DFDF"/>
      </right>
      <top style="dashed">
        <color rgb="FFC4DFDF"/>
      </top>
      <bottom style="thin">
        <color rgb="FFC4DFDF"/>
      </bottom>
      <diagonal/>
    </border>
    <border>
      <left style="thin">
        <color rgb="FFC4DFDF"/>
      </left>
      <right/>
      <top style="dashed">
        <color rgb="FFC4DFDF"/>
      </top>
      <bottom/>
      <diagonal/>
    </border>
    <border>
      <left/>
      <right/>
      <top style="dashed">
        <color rgb="FFC4DFDF"/>
      </top>
      <bottom/>
      <diagonal/>
    </border>
    <border>
      <left style="thin">
        <color rgb="FFC4DFDF"/>
      </left>
      <right/>
      <top style="thin">
        <color rgb="FFC4DFDF"/>
      </top>
      <bottom style="thin">
        <color rgb="FFC4DFDF"/>
      </bottom>
      <diagonal/>
    </border>
    <border>
      <left/>
      <right style="thin">
        <color rgb="FFC4DFDF"/>
      </right>
      <top style="dashed">
        <color rgb="FFC4DFDF"/>
      </top>
      <bottom/>
      <diagonal/>
    </border>
    <border>
      <left/>
      <right/>
      <top style="thin">
        <color rgb="FFC4DFDF"/>
      </top>
      <bottom style="thin">
        <color rgb="FFC4DFDF"/>
      </bottom>
      <diagonal/>
    </border>
    <border>
      <left/>
      <right style="thin">
        <color rgb="FFC4DFDF"/>
      </right>
      <top style="thin">
        <color rgb="FFC4DFDF"/>
      </top>
      <bottom style="thin">
        <color rgb="FFC4DFDF"/>
      </bottom>
      <diagonal/>
    </border>
    <border>
      <left style="thin">
        <color rgb="FFC4DFDF"/>
      </left>
      <right/>
      <top/>
      <bottom style="dashed">
        <color rgb="FFC4DFDF"/>
      </bottom>
      <diagonal/>
    </border>
    <border>
      <left/>
      <right style="thin">
        <color rgb="FFC4DFDF"/>
      </right>
      <top/>
      <bottom style="dashed">
        <color rgb="FFC4DFDF"/>
      </bottom>
      <diagonal/>
    </border>
    <border>
      <left/>
      <right/>
      <top/>
      <bottom style="dashed">
        <color rgb="FFC4DFDF"/>
      </bottom>
      <diagonal/>
    </border>
    <border>
      <left style="thin">
        <color rgb="FFC4DFDF"/>
      </left>
      <right/>
      <top style="thin">
        <color rgb="FFC4DFDF"/>
      </top>
      <bottom/>
      <diagonal/>
    </border>
    <border>
      <left/>
      <right/>
      <top style="thin">
        <color rgb="FFC4DFDF"/>
      </top>
      <bottom/>
      <diagonal/>
    </border>
    <border>
      <left style="dashed">
        <color rgb="FF674188"/>
      </left>
      <right style="dashed">
        <color rgb="FF674188"/>
      </right>
      <top style="dashed">
        <color rgb="FF674188"/>
      </top>
      <bottom/>
      <diagonal/>
    </border>
  </borders>
  <cellStyleXfs count="1">
    <xf numFmtId="0" fontId="0" fillId="0" borderId="0">
      <alignment vertical="center"/>
    </xf>
  </cellStyleXfs>
  <cellXfs count="91">
    <xf numFmtId="0" fontId="0" fillId="0" borderId="0" xfId="0">
      <alignment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7" borderId="5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5" fillId="8" borderId="4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176" fontId="0" fillId="0" borderId="0" xfId="0" applyNumberFormat="1">
      <alignment vertical="center"/>
    </xf>
    <xf numFmtId="0" fontId="7" fillId="2" borderId="6" xfId="0" applyFont="1" applyFill="1" applyBorder="1" applyAlignment="1">
      <alignment horizontal="center" vertical="center"/>
    </xf>
    <xf numFmtId="176" fontId="7" fillId="2" borderId="6" xfId="0" applyNumberFormat="1" applyFont="1" applyFill="1" applyBorder="1" applyAlignment="1">
      <alignment horizontal="center" vertical="center"/>
    </xf>
    <xf numFmtId="0" fontId="7" fillId="6" borderId="6" xfId="0" applyFont="1" applyFill="1" applyBorder="1" applyAlignment="1">
      <alignment horizontal="center" vertical="center"/>
    </xf>
    <xf numFmtId="176" fontId="7" fillId="6" borderId="6" xfId="0" applyNumberFormat="1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6" borderId="8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176" fontId="7" fillId="6" borderId="8" xfId="0" applyNumberFormat="1" applyFont="1" applyFill="1" applyBorder="1" applyAlignment="1">
      <alignment horizontal="center" vertical="center"/>
    </xf>
    <xf numFmtId="176" fontId="7" fillId="2" borderId="8" xfId="0" applyNumberFormat="1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176" fontId="5" fillId="4" borderId="6" xfId="0" applyNumberFormat="1" applyFont="1" applyFill="1" applyBorder="1" applyAlignment="1">
      <alignment horizontal="center" vertical="center"/>
    </xf>
    <xf numFmtId="0" fontId="4" fillId="5" borderId="0" xfId="0" applyFont="1" applyFill="1">
      <alignment vertical="center"/>
    </xf>
    <xf numFmtId="177" fontId="0" fillId="0" borderId="0" xfId="0" applyNumberFormat="1">
      <alignment vertical="center"/>
    </xf>
    <xf numFmtId="0" fontId="3" fillId="2" borderId="21" xfId="0" applyFont="1" applyFill="1" applyBorder="1" applyAlignment="1">
      <alignment horizontal="center" vertical="center" wrapText="1"/>
    </xf>
    <xf numFmtId="0" fontId="3" fillId="2" borderId="21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 wrapText="1"/>
    </xf>
    <xf numFmtId="0" fontId="3" fillId="6" borderId="21" xfId="0" applyFont="1" applyFill="1" applyBorder="1" applyAlignment="1">
      <alignment horizontal="center" vertical="center" wrapText="1"/>
    </xf>
    <xf numFmtId="0" fontId="3" fillId="6" borderId="21" xfId="0" applyFont="1" applyFill="1" applyBorder="1" applyAlignment="1">
      <alignment horizontal="center" vertical="center"/>
    </xf>
    <xf numFmtId="0" fontId="3" fillId="6" borderId="22" xfId="0" applyFont="1" applyFill="1" applyBorder="1" applyAlignment="1">
      <alignment horizontal="center" vertical="center" wrapText="1"/>
    </xf>
    <xf numFmtId="0" fontId="2" fillId="11" borderId="22" xfId="0" applyFont="1" applyFill="1" applyBorder="1" applyAlignment="1">
      <alignment horizontal="center" vertical="center" wrapText="1"/>
    </xf>
    <xf numFmtId="0" fontId="2" fillId="11" borderId="29" xfId="0" applyFont="1" applyFill="1" applyBorder="1" applyAlignment="1">
      <alignment horizontal="center" vertical="center" wrapText="1"/>
    </xf>
    <xf numFmtId="0" fontId="3" fillId="6" borderId="27" xfId="0" applyFont="1" applyFill="1" applyBorder="1" applyAlignment="1">
      <alignment horizontal="center" vertical="center" wrapText="1"/>
    </xf>
    <xf numFmtId="0" fontId="3" fillId="6" borderId="27" xfId="0" applyFont="1" applyFill="1" applyBorder="1" applyAlignment="1">
      <alignment horizontal="center" vertical="center"/>
    </xf>
    <xf numFmtId="0" fontId="3" fillId="6" borderId="29" xfId="0" applyFont="1" applyFill="1" applyBorder="1" applyAlignment="1">
      <alignment horizontal="center" vertical="center" wrapText="1"/>
    </xf>
    <xf numFmtId="177" fontId="11" fillId="12" borderId="30" xfId="0" applyNumberFormat="1" applyFont="1" applyFill="1" applyBorder="1" applyAlignment="1">
      <alignment horizontal="center" vertical="center"/>
    </xf>
    <xf numFmtId="177" fontId="11" fillId="12" borderId="31" xfId="0" applyNumberFormat="1" applyFont="1" applyFill="1" applyBorder="1" applyAlignment="1">
      <alignment horizontal="center" vertical="center"/>
    </xf>
    <xf numFmtId="0" fontId="2" fillId="11" borderId="33" xfId="0" applyFont="1" applyFill="1" applyBorder="1" applyAlignment="1">
      <alignment horizontal="center" vertical="center" wrapText="1"/>
    </xf>
    <xf numFmtId="0" fontId="3" fillId="2" borderId="34" xfId="0" applyFont="1" applyFill="1" applyBorder="1" applyAlignment="1">
      <alignment horizontal="center" vertical="center" wrapText="1"/>
    </xf>
    <xf numFmtId="0" fontId="3" fillId="2" borderId="34" xfId="0" applyFont="1" applyFill="1" applyBorder="1" applyAlignment="1">
      <alignment horizontal="center" vertical="center"/>
    </xf>
    <xf numFmtId="0" fontId="3" fillId="2" borderId="33" xfId="0" applyFont="1" applyFill="1" applyBorder="1" applyAlignment="1">
      <alignment horizontal="center" vertical="center" wrapText="1"/>
    </xf>
    <xf numFmtId="0" fontId="2" fillId="12" borderId="24" xfId="0" applyFont="1" applyFill="1" applyBorder="1" applyAlignment="1">
      <alignment horizontal="center" vertical="center" wrapText="1"/>
    </xf>
    <xf numFmtId="0" fontId="2" fillId="12" borderId="24" xfId="0" applyFont="1" applyFill="1" applyBorder="1" applyAlignment="1">
      <alignment horizontal="center" vertical="center"/>
    </xf>
    <xf numFmtId="0" fontId="2" fillId="12" borderId="25" xfId="0" applyFont="1" applyFill="1" applyBorder="1" applyAlignment="1">
      <alignment horizontal="center" vertical="center" wrapText="1"/>
    </xf>
    <xf numFmtId="177" fontId="11" fillId="12" borderId="36" xfId="0" applyNumberFormat="1" applyFont="1" applyFill="1" applyBorder="1" applyAlignment="1">
      <alignment horizontal="center" vertical="center"/>
    </xf>
    <xf numFmtId="0" fontId="12" fillId="6" borderId="21" xfId="0" applyFont="1" applyFill="1" applyBorder="1" applyAlignment="1">
      <alignment horizontal="center" vertical="center" wrapText="1"/>
    </xf>
    <xf numFmtId="0" fontId="4" fillId="13" borderId="0" xfId="0" applyFont="1" applyFill="1" applyAlignment="1">
      <alignment horizontal="center" vertical="center"/>
    </xf>
    <xf numFmtId="178" fontId="3" fillId="2" borderId="34" xfId="0" applyNumberFormat="1" applyFont="1" applyFill="1" applyBorder="1" applyAlignment="1">
      <alignment horizontal="center" vertical="center" wrapText="1"/>
    </xf>
    <xf numFmtId="178" fontId="3" fillId="6" borderId="21" xfId="0" applyNumberFormat="1" applyFont="1" applyFill="1" applyBorder="1" applyAlignment="1">
      <alignment horizontal="center" vertical="center" wrapText="1"/>
    </xf>
    <xf numFmtId="178" fontId="3" fillId="2" borderId="21" xfId="0" applyNumberFormat="1" applyFont="1" applyFill="1" applyBorder="1" applyAlignment="1">
      <alignment horizontal="center" vertical="center" wrapText="1"/>
    </xf>
    <xf numFmtId="178" fontId="3" fillId="6" borderId="27" xfId="0" applyNumberFormat="1" applyFont="1" applyFill="1" applyBorder="1" applyAlignment="1">
      <alignment horizontal="center" vertical="center" wrapText="1"/>
    </xf>
    <xf numFmtId="0" fontId="2" fillId="11" borderId="20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13" borderId="0" xfId="0" applyFont="1" applyFill="1" applyAlignment="1">
      <alignment horizontal="center" vertical="center"/>
    </xf>
    <xf numFmtId="0" fontId="2" fillId="11" borderId="32" xfId="0" applyFont="1" applyFill="1" applyBorder="1" applyAlignment="1">
      <alignment horizontal="center" vertical="center" wrapText="1"/>
    </xf>
    <xf numFmtId="0" fontId="2" fillId="11" borderId="26" xfId="0" applyFont="1" applyFill="1" applyBorder="1" applyAlignment="1">
      <alignment horizontal="center" vertical="center" wrapText="1"/>
    </xf>
    <xf numFmtId="0" fontId="2" fillId="12" borderId="17" xfId="0" applyFont="1" applyFill="1" applyBorder="1" applyAlignment="1">
      <alignment horizontal="center" vertical="center" wrapText="1"/>
    </xf>
    <xf numFmtId="0" fontId="2" fillId="12" borderId="18" xfId="0" applyFont="1" applyFill="1" applyBorder="1" applyAlignment="1">
      <alignment horizontal="center" vertical="center" wrapText="1"/>
    </xf>
    <xf numFmtId="0" fontId="2" fillId="12" borderId="23" xfId="0" applyFont="1" applyFill="1" applyBorder="1" applyAlignment="1">
      <alignment horizontal="center" vertical="center" wrapText="1"/>
    </xf>
    <xf numFmtId="0" fontId="2" fillId="12" borderId="24" xfId="0" applyFont="1" applyFill="1" applyBorder="1" applyAlignment="1">
      <alignment horizontal="center" vertical="center" wrapText="1"/>
    </xf>
    <xf numFmtId="0" fontId="2" fillId="12" borderId="19" xfId="0" applyFont="1" applyFill="1" applyBorder="1" applyAlignment="1">
      <alignment horizontal="center" vertical="center" wrapText="1"/>
    </xf>
    <xf numFmtId="0" fontId="2" fillId="12" borderId="32" xfId="0" applyFont="1" applyFill="1" applyBorder="1" applyAlignment="1">
      <alignment horizontal="center" vertical="center" wrapText="1"/>
    </xf>
    <xf numFmtId="0" fontId="2" fillId="12" borderId="34" xfId="0" applyFont="1" applyFill="1" applyBorder="1" applyAlignment="1">
      <alignment horizontal="center" vertical="center" wrapText="1"/>
    </xf>
    <xf numFmtId="0" fontId="2" fillId="12" borderId="34" xfId="0" applyFont="1" applyFill="1" applyBorder="1" applyAlignment="1">
      <alignment horizontal="center" vertical="center"/>
    </xf>
    <xf numFmtId="0" fontId="2" fillId="12" borderId="18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3" borderId="3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10" fillId="10" borderId="10" xfId="0" applyFont="1" applyFill="1" applyBorder="1" applyAlignment="1">
      <alignment horizontal="left" vertical="center" wrapText="1"/>
    </xf>
    <xf numFmtId="0" fontId="9" fillId="10" borderId="11" xfId="0" applyFont="1" applyFill="1" applyBorder="1" applyAlignment="1">
      <alignment horizontal="left" vertical="center"/>
    </xf>
    <xf numFmtId="0" fontId="9" fillId="10" borderId="12" xfId="0" applyFont="1" applyFill="1" applyBorder="1" applyAlignment="1">
      <alignment horizontal="left" vertical="center"/>
    </xf>
    <xf numFmtId="0" fontId="9" fillId="10" borderId="13" xfId="0" applyFont="1" applyFill="1" applyBorder="1" applyAlignment="1">
      <alignment horizontal="left" vertical="center"/>
    </xf>
    <xf numFmtId="0" fontId="9" fillId="10" borderId="0" xfId="0" applyFont="1" applyFill="1" applyAlignment="1">
      <alignment horizontal="left" vertical="center"/>
    </xf>
    <xf numFmtId="0" fontId="9" fillId="10" borderId="14" xfId="0" applyFont="1" applyFill="1" applyBorder="1" applyAlignment="1">
      <alignment horizontal="left" vertical="center"/>
    </xf>
    <xf numFmtId="0" fontId="9" fillId="10" borderId="15" xfId="0" applyFont="1" applyFill="1" applyBorder="1" applyAlignment="1">
      <alignment horizontal="left" vertical="center"/>
    </xf>
    <xf numFmtId="0" fontId="9" fillId="10" borderId="3" xfId="0" applyFont="1" applyFill="1" applyBorder="1" applyAlignment="1">
      <alignment horizontal="left" vertical="center"/>
    </xf>
    <xf numFmtId="0" fontId="9" fillId="10" borderId="16" xfId="0" applyFont="1" applyFill="1" applyBorder="1" applyAlignment="1">
      <alignment horizontal="left" vertical="center"/>
    </xf>
    <xf numFmtId="0" fontId="11" fillId="12" borderId="28" xfId="0" applyFont="1" applyFill="1" applyBorder="1" applyAlignment="1">
      <alignment horizontal="center" vertical="center"/>
    </xf>
    <xf numFmtId="0" fontId="11" fillId="12" borderId="30" xfId="0" applyFont="1" applyFill="1" applyBorder="1" applyAlignment="1">
      <alignment horizontal="center" vertical="center"/>
    </xf>
    <xf numFmtId="0" fontId="10" fillId="10" borderId="11" xfId="0" applyFont="1" applyFill="1" applyBorder="1" applyAlignment="1">
      <alignment horizontal="left" vertical="center" wrapText="1"/>
    </xf>
    <xf numFmtId="0" fontId="10" fillId="10" borderId="12" xfId="0" applyFont="1" applyFill="1" applyBorder="1" applyAlignment="1">
      <alignment horizontal="left" vertical="center" wrapText="1"/>
    </xf>
    <xf numFmtId="0" fontId="10" fillId="10" borderId="13" xfId="0" applyFont="1" applyFill="1" applyBorder="1" applyAlignment="1">
      <alignment horizontal="left" vertical="center" wrapText="1"/>
    </xf>
    <xf numFmtId="0" fontId="10" fillId="10" borderId="0" xfId="0" applyFont="1" applyFill="1" applyAlignment="1">
      <alignment horizontal="left" vertical="center" wrapText="1"/>
    </xf>
    <xf numFmtId="0" fontId="10" fillId="10" borderId="14" xfId="0" applyFont="1" applyFill="1" applyBorder="1" applyAlignment="1">
      <alignment horizontal="left" vertical="center" wrapText="1"/>
    </xf>
    <xf numFmtId="0" fontId="10" fillId="10" borderId="15" xfId="0" applyFont="1" applyFill="1" applyBorder="1" applyAlignment="1">
      <alignment horizontal="left" vertical="center" wrapText="1"/>
    </xf>
    <xf numFmtId="0" fontId="10" fillId="10" borderId="3" xfId="0" applyFont="1" applyFill="1" applyBorder="1" applyAlignment="1">
      <alignment horizontal="left" vertical="center" wrapText="1"/>
    </xf>
    <xf numFmtId="0" fontId="10" fillId="10" borderId="16" xfId="0" applyFont="1" applyFill="1" applyBorder="1" applyAlignment="1">
      <alignment horizontal="left" vertical="center" wrapText="1"/>
    </xf>
    <xf numFmtId="177" fontId="11" fillId="12" borderId="35" xfId="0" applyNumberFormat="1" applyFont="1" applyFill="1" applyBorder="1" applyAlignment="1">
      <alignment horizontal="center" vertical="center"/>
    </xf>
    <xf numFmtId="177" fontId="11" fillId="12" borderId="36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CC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378906</xdr:colOff>
      <xdr:row>17</xdr:row>
      <xdr:rowOff>55925</xdr:rowOff>
    </xdr:from>
    <xdr:to>
      <xdr:col>39</xdr:col>
      <xdr:colOff>290053</xdr:colOff>
      <xdr:row>31</xdr:row>
      <xdr:rowOff>181072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654EB66D-B181-44A6-9D3E-22792523FF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597135" y="3365182"/>
          <a:ext cx="6573635" cy="31788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402A2-E9DF-4905-B342-F7998E7D49F9}">
  <dimension ref="A1:AF102"/>
  <sheetViews>
    <sheetView showGridLines="0" tabSelected="1" topLeftCell="A40" zoomScale="70" zoomScaleNormal="70" workbookViewId="0">
      <selection activeCell="AF51" sqref="AF51"/>
    </sheetView>
  </sheetViews>
  <sheetFormatPr defaultRowHeight="13.9" outlineLevelRow="1" x14ac:dyDescent="0.4"/>
  <cols>
    <col min="1" max="1" width="3.59765625" customWidth="1"/>
    <col min="2" max="2" width="2.86328125" customWidth="1"/>
    <col min="3" max="4" width="8.1328125" customWidth="1"/>
    <col min="5" max="5" width="9.1328125" customWidth="1"/>
    <col min="6" max="6" width="8.46484375" customWidth="1"/>
    <col min="7" max="7" width="7.6640625" customWidth="1"/>
    <col min="8" max="11" width="9.3984375" customWidth="1"/>
    <col min="12" max="15" width="9" customWidth="1"/>
    <col min="16" max="16" width="8.06640625" bestFit="1" customWidth="1"/>
    <col min="17" max="17" width="9.1328125" customWidth="1"/>
    <col min="18" max="18" width="8.46484375" customWidth="1"/>
    <col min="20" max="20" width="3.796875" bestFit="1" customWidth="1"/>
    <col min="21" max="21" width="5.53125" customWidth="1"/>
    <col min="22" max="22" width="7.1328125" customWidth="1"/>
    <col min="23" max="23" width="8.53125" customWidth="1"/>
    <col min="24" max="24" width="10.1328125" customWidth="1"/>
    <col min="25" max="25" width="13.06640625" style="9" customWidth="1"/>
    <col min="26" max="26" width="8.265625" style="9" bestFit="1" customWidth="1"/>
    <col min="27" max="27" width="9" style="9" customWidth="1"/>
    <col min="28" max="28" width="5.53125" customWidth="1"/>
    <col min="29" max="29" width="9.1328125" customWidth="1"/>
    <col min="30" max="30" width="8.46484375" customWidth="1"/>
    <col min="31" max="31" width="7.6640625" customWidth="1"/>
    <col min="32" max="32" width="7" customWidth="1"/>
    <col min="33" max="33" width="9.1328125" customWidth="1"/>
    <col min="34" max="34" width="8.46484375" customWidth="1"/>
    <col min="35" max="35" width="7.6640625" customWidth="1"/>
    <col min="36" max="36" width="5.53125" customWidth="1"/>
    <col min="37" max="37" width="9.1328125" customWidth="1"/>
    <col min="38" max="38" width="8.46484375" customWidth="1"/>
    <col min="39" max="39" width="7.6640625" customWidth="1"/>
  </cols>
  <sheetData>
    <row r="1" spans="1:32" ht="15.75" x14ac:dyDescent="0.4">
      <c r="A1" s="55" t="s">
        <v>27</v>
      </c>
      <c r="B1" s="55"/>
      <c r="C1" s="55"/>
      <c r="D1" s="55"/>
      <c r="E1" s="55"/>
      <c r="F1" s="55"/>
      <c r="G1" s="55"/>
      <c r="H1" s="55"/>
      <c r="I1" s="48"/>
      <c r="J1" s="24"/>
      <c r="K1" s="24"/>
      <c r="L1" s="24"/>
      <c r="M1" s="24"/>
      <c r="N1" s="24"/>
      <c r="O1" s="24"/>
      <c r="P1" s="24"/>
      <c r="Q1" s="24"/>
      <c r="R1" s="24"/>
    </row>
    <row r="2" spans="1:32" ht="14.65" customHeight="1" outlineLevel="1" x14ac:dyDescent="0.4">
      <c r="A2" s="63"/>
      <c r="B2" s="64"/>
      <c r="C2" s="64" t="s">
        <v>1</v>
      </c>
      <c r="D2" s="64"/>
      <c r="E2" s="64"/>
      <c r="F2" s="64"/>
      <c r="G2" s="64"/>
      <c r="H2" s="65" t="s">
        <v>2</v>
      </c>
      <c r="I2" s="65"/>
      <c r="J2" s="66"/>
      <c r="K2" s="66"/>
      <c r="L2" s="66" t="s">
        <v>3</v>
      </c>
      <c r="M2" s="66"/>
      <c r="N2" s="66"/>
      <c r="O2" s="66"/>
      <c r="P2" s="59" t="s">
        <v>4</v>
      </c>
      <c r="Q2" s="59"/>
      <c r="R2" s="62"/>
      <c r="T2" s="67" t="s">
        <v>23</v>
      </c>
      <c r="U2" s="67"/>
      <c r="V2" s="67"/>
      <c r="W2" s="67"/>
      <c r="X2" s="67"/>
      <c r="Y2" s="67"/>
      <c r="Z2" s="67"/>
      <c r="AA2" s="67"/>
      <c r="AC2" s="54" t="s">
        <v>22</v>
      </c>
      <c r="AD2" s="54"/>
      <c r="AE2" s="54"/>
      <c r="AF2" s="54"/>
    </row>
    <row r="3" spans="1:32" ht="15.75" outlineLevel="1" x14ac:dyDescent="0.4">
      <c r="A3" s="60"/>
      <c r="B3" s="61"/>
      <c r="C3" s="43" t="s">
        <v>0</v>
      </c>
      <c r="D3" s="43" t="s">
        <v>36</v>
      </c>
      <c r="E3" s="43" t="s">
        <v>7</v>
      </c>
      <c r="F3" s="43" t="s">
        <v>8</v>
      </c>
      <c r="G3" s="43" t="s">
        <v>10</v>
      </c>
      <c r="H3" s="43" t="s">
        <v>0</v>
      </c>
      <c r="I3" s="43" t="s">
        <v>36</v>
      </c>
      <c r="J3" s="43" t="s">
        <v>7</v>
      </c>
      <c r="K3" s="43" t="s">
        <v>8</v>
      </c>
      <c r="L3" s="43" t="s">
        <v>0</v>
      </c>
      <c r="M3" s="43" t="s">
        <v>36</v>
      </c>
      <c r="N3" s="43" t="s">
        <v>7</v>
      </c>
      <c r="O3" s="43" t="s">
        <v>8</v>
      </c>
      <c r="P3" s="44" t="s">
        <v>14</v>
      </c>
      <c r="Q3" s="43" t="s">
        <v>15</v>
      </c>
      <c r="R3" s="45" t="s">
        <v>16</v>
      </c>
      <c r="T3" s="22"/>
      <c r="U3" s="22"/>
      <c r="V3" s="22" t="s">
        <v>20</v>
      </c>
      <c r="W3" s="22" t="s">
        <v>21</v>
      </c>
      <c r="X3" s="22" t="s">
        <v>9</v>
      </c>
      <c r="Y3" s="23" t="s">
        <v>24</v>
      </c>
      <c r="Z3" s="23" t="s">
        <v>25</v>
      </c>
      <c r="AA3" s="23" t="s">
        <v>26</v>
      </c>
      <c r="AC3" s="7"/>
      <c r="AD3" s="7" t="s">
        <v>11</v>
      </c>
      <c r="AE3" s="7" t="s">
        <v>12</v>
      </c>
      <c r="AF3" s="7" t="s">
        <v>13</v>
      </c>
    </row>
    <row r="4" spans="1:32" ht="15.75" outlineLevel="1" x14ac:dyDescent="0.4">
      <c r="A4" s="56">
        <v>0</v>
      </c>
      <c r="B4" s="39" t="s">
        <v>5</v>
      </c>
      <c r="C4" s="40">
        <v>-77</v>
      </c>
      <c r="D4" s="49">
        <f>E4-Y4</f>
        <v>20.234428879331389</v>
      </c>
      <c r="E4" s="40">
        <v>89.2</v>
      </c>
      <c r="F4" s="40">
        <v>1.4</v>
      </c>
      <c r="G4" s="40">
        <v>80</v>
      </c>
      <c r="H4" s="40">
        <v>-75</v>
      </c>
      <c r="I4" s="49">
        <f>J4-Z4</f>
        <v>107.96005824650055</v>
      </c>
      <c r="J4" s="40">
        <v>173.2</v>
      </c>
      <c r="K4" s="40">
        <v>6.9</v>
      </c>
      <c r="L4" s="40"/>
      <c r="M4" s="40"/>
      <c r="N4" s="40"/>
      <c r="O4" s="40"/>
      <c r="P4" s="41">
        <v>-70</v>
      </c>
      <c r="Q4" s="40">
        <v>-71</v>
      </c>
      <c r="R4" s="42"/>
      <c r="T4" s="68">
        <v>0</v>
      </c>
      <c r="U4" s="16" t="s">
        <v>5</v>
      </c>
      <c r="V4" s="17">
        <v>0</v>
      </c>
      <c r="W4" s="18">
        <v>-40</v>
      </c>
      <c r="X4" s="19">
        <v>80</v>
      </c>
      <c r="Y4" s="20">
        <f>SQRT(POWER($AD$4-V4,2)+POWER($AD$5-W4,2)+POWER($AD$6-X4,2))</f>
        <v>68.965571120668614</v>
      </c>
      <c r="Z4" s="21">
        <f>SQRT(POWER($AE$4-V4,2)+POWER($AE$5-W4,2)+POWER($AE$6-X4,2))</f>
        <v>65.239941753499437</v>
      </c>
      <c r="AA4" s="20">
        <f>SQRT(POWER($AF$4-V4,2)+POWER($AF$5-W4,2)+POWER($AF$6-X4,2))</f>
        <v>68.965571120668614</v>
      </c>
      <c r="AC4" s="5" t="s">
        <v>17</v>
      </c>
      <c r="AD4" s="8">
        <v>47.5</v>
      </c>
      <c r="AE4" s="6">
        <v>47.5</v>
      </c>
      <c r="AF4" s="8">
        <v>-47.5</v>
      </c>
    </row>
    <row r="5" spans="1:32" ht="15.75" outlineLevel="1" x14ac:dyDescent="0.4">
      <c r="A5" s="53"/>
      <c r="B5" s="32" t="s">
        <v>6</v>
      </c>
      <c r="C5" s="29">
        <v>-73</v>
      </c>
      <c r="D5" s="50">
        <f t="shared" ref="D5:D33" si="0">E5-Y5</f>
        <v>26.433566486529216</v>
      </c>
      <c r="E5" s="29">
        <v>100.3</v>
      </c>
      <c r="F5" s="29">
        <v>1.6</v>
      </c>
      <c r="G5" s="29">
        <v>79</v>
      </c>
      <c r="H5" s="29">
        <v>-77</v>
      </c>
      <c r="I5" s="50">
        <f t="shared" ref="I5:I33" si="1">J5-Z5</f>
        <v>34.8553613568548</v>
      </c>
      <c r="J5" s="29">
        <v>144.19999999999999</v>
      </c>
      <c r="K5" s="29">
        <v>1.2</v>
      </c>
      <c r="L5" s="29"/>
      <c r="M5" s="29"/>
      <c r="N5" s="29"/>
      <c r="O5" s="29"/>
      <c r="P5" s="30">
        <v>-69</v>
      </c>
      <c r="Q5" s="29">
        <v>-72</v>
      </c>
      <c r="R5" s="31"/>
      <c r="T5" s="69"/>
      <c r="U5" s="15" t="s">
        <v>6</v>
      </c>
      <c r="V5" s="14">
        <v>0</v>
      </c>
      <c r="W5" s="12">
        <v>-40</v>
      </c>
      <c r="X5" s="10">
        <v>150</v>
      </c>
      <c r="Y5" s="13">
        <f t="shared" ref="Y5:Y33" si="2">SQRT(POWER($AD$4-V5,2)+POWER($AD$5-W5,2)+POWER($AD$6-X5,2))</f>
        <v>73.866433513470781</v>
      </c>
      <c r="Z5" s="11">
        <f t="shared" ref="Z5:Z33" si="3">SQRT(POWER($AE$4-V5,2)+POWER($AE$5-W5,2)+POWER($AE$6-X5,2))</f>
        <v>109.34463864314519</v>
      </c>
      <c r="AA5" s="13">
        <f t="shared" ref="AA5:AA33" si="4">SQRT(POWER($AF$4-V5,2)+POWER($AF$5-W5,2)+POWER($AF$6-X5,2))</f>
        <v>73.866433513470781</v>
      </c>
      <c r="AC5" s="3" t="s">
        <v>18</v>
      </c>
      <c r="AD5" s="1">
        <v>0</v>
      </c>
      <c r="AE5" s="1">
        <v>0</v>
      </c>
      <c r="AF5" s="1">
        <v>0</v>
      </c>
    </row>
    <row r="6" spans="1:32" ht="14.65" customHeight="1" outlineLevel="1" x14ac:dyDescent="0.4">
      <c r="A6" s="53">
        <v>1</v>
      </c>
      <c r="B6" s="32" t="s">
        <v>5</v>
      </c>
      <c r="C6" s="26">
        <v>-78</v>
      </c>
      <c r="D6" s="51">
        <f t="shared" si="0"/>
        <v>15.419487364389411</v>
      </c>
      <c r="E6" s="26">
        <v>71.599999999999994</v>
      </c>
      <c r="F6" s="26">
        <v>4</v>
      </c>
      <c r="G6" s="26">
        <v>11.6</v>
      </c>
      <c r="H6" s="26">
        <v>-72</v>
      </c>
      <c r="I6" s="51">
        <f t="shared" si="1"/>
        <v>39.561179679779237</v>
      </c>
      <c r="J6" s="26">
        <v>91.1</v>
      </c>
      <c r="K6" s="26">
        <v>1.8</v>
      </c>
      <c r="L6" s="26"/>
      <c r="M6" s="26"/>
      <c r="N6" s="26"/>
      <c r="O6" s="26"/>
      <c r="P6" s="27">
        <v>-65</v>
      </c>
      <c r="Q6" s="26">
        <v>-72</v>
      </c>
      <c r="R6" s="28"/>
      <c r="T6" s="68">
        <v>1</v>
      </c>
      <c r="U6" s="15" t="s">
        <v>5</v>
      </c>
      <c r="V6" s="14">
        <v>0</v>
      </c>
      <c r="W6" s="12">
        <v>0</v>
      </c>
      <c r="X6" s="10">
        <v>80</v>
      </c>
      <c r="Y6" s="13">
        <f t="shared" si="2"/>
        <v>56.180512635610583</v>
      </c>
      <c r="Z6" s="11">
        <f t="shared" si="3"/>
        <v>51.538820320220758</v>
      </c>
      <c r="AA6" s="13">
        <f t="shared" si="4"/>
        <v>56.180512635610583</v>
      </c>
      <c r="AC6" s="4" t="s">
        <v>19</v>
      </c>
      <c r="AD6" s="2">
        <v>110</v>
      </c>
      <c r="AE6" s="2">
        <v>60</v>
      </c>
      <c r="AF6" s="2">
        <v>110</v>
      </c>
    </row>
    <row r="7" spans="1:32" ht="15.75" outlineLevel="1" x14ac:dyDescent="0.4">
      <c r="A7" s="53"/>
      <c r="B7" s="32" t="s">
        <v>6</v>
      </c>
      <c r="C7" s="29">
        <v>-71</v>
      </c>
      <c r="D7" s="50">
        <f t="shared" si="0"/>
        <v>22.901288258128893</v>
      </c>
      <c r="E7" s="29">
        <v>85</v>
      </c>
      <c r="F7" s="29">
        <v>0.9</v>
      </c>
      <c r="G7" s="47">
        <v>62.1</v>
      </c>
      <c r="H7" s="29">
        <v>-76</v>
      </c>
      <c r="I7" s="50">
        <f t="shared" si="1"/>
        <v>24.934337814761903</v>
      </c>
      <c r="J7" s="29">
        <v>126.7</v>
      </c>
      <c r="K7" s="29">
        <v>1.1000000000000001</v>
      </c>
      <c r="L7" s="29"/>
      <c r="M7" s="29"/>
      <c r="N7" s="29"/>
      <c r="O7" s="29"/>
      <c r="P7" s="30">
        <v>-67</v>
      </c>
      <c r="Q7" s="29">
        <v>-72</v>
      </c>
      <c r="R7" s="31"/>
      <c r="T7" s="69"/>
      <c r="U7" s="15" t="s">
        <v>6</v>
      </c>
      <c r="V7" s="14">
        <v>0</v>
      </c>
      <c r="W7" s="12">
        <v>0</v>
      </c>
      <c r="X7" s="10">
        <v>150</v>
      </c>
      <c r="Y7" s="13">
        <f t="shared" si="2"/>
        <v>62.098711741871107</v>
      </c>
      <c r="Z7" s="11">
        <f t="shared" si="3"/>
        <v>101.7656621852381</v>
      </c>
      <c r="AA7" s="13">
        <f t="shared" si="4"/>
        <v>62.098711741871107</v>
      </c>
    </row>
    <row r="8" spans="1:32" ht="15.75" outlineLevel="1" x14ac:dyDescent="0.4">
      <c r="A8" s="53">
        <v>2</v>
      </c>
      <c r="B8" s="32" t="s">
        <v>5</v>
      </c>
      <c r="C8" s="26">
        <v>-77</v>
      </c>
      <c r="D8" s="51">
        <f t="shared" si="0"/>
        <v>13.677223398316205</v>
      </c>
      <c r="E8" s="26">
        <v>45.3</v>
      </c>
      <c r="F8" s="26">
        <v>3.2</v>
      </c>
      <c r="G8" s="26">
        <v>-23</v>
      </c>
      <c r="H8" s="26">
        <v>-63</v>
      </c>
      <c r="I8" s="51">
        <f t="shared" si="1"/>
        <v>23.139320225002102</v>
      </c>
      <c r="J8" s="26">
        <v>45.5</v>
      </c>
      <c r="K8" s="26">
        <v>1.3</v>
      </c>
      <c r="L8" s="26"/>
      <c r="M8" s="26"/>
      <c r="N8" s="26"/>
      <c r="O8" s="26"/>
      <c r="P8" s="27">
        <v>-72</v>
      </c>
      <c r="Q8" s="26">
        <v>-63</v>
      </c>
      <c r="R8" s="28"/>
      <c r="T8" s="68">
        <v>2</v>
      </c>
      <c r="U8" s="15" t="s">
        <v>5</v>
      </c>
      <c r="V8" s="14">
        <f>$AD$4</f>
        <v>47.5</v>
      </c>
      <c r="W8" s="12">
        <v>10</v>
      </c>
      <c r="X8" s="10">
        <v>80</v>
      </c>
      <c r="Y8" s="13">
        <f t="shared" si="2"/>
        <v>31.622776601683793</v>
      </c>
      <c r="Z8" s="11">
        <f t="shared" si="3"/>
        <v>22.360679774997898</v>
      </c>
      <c r="AA8" s="13">
        <f t="shared" si="4"/>
        <v>100.12492197250393</v>
      </c>
    </row>
    <row r="9" spans="1:32" ht="15.75" outlineLevel="1" x14ac:dyDescent="0.4">
      <c r="A9" s="53"/>
      <c r="B9" s="32" t="s">
        <v>6</v>
      </c>
      <c r="C9" s="29">
        <v>-69</v>
      </c>
      <c r="D9" s="50">
        <f t="shared" si="0"/>
        <v>17.56894374382339</v>
      </c>
      <c r="E9" s="29">
        <v>58.8</v>
      </c>
      <c r="F9" s="29">
        <v>1.4</v>
      </c>
      <c r="G9" s="47">
        <v>50</v>
      </c>
      <c r="H9" s="29">
        <v>-70.5</v>
      </c>
      <c r="I9" s="50">
        <f t="shared" si="1"/>
        <v>13.546148618625821</v>
      </c>
      <c r="J9" s="29">
        <v>104.1</v>
      </c>
      <c r="K9" s="29">
        <v>2.2000000000000002</v>
      </c>
      <c r="L9" s="29"/>
      <c r="M9" s="29"/>
      <c r="N9" s="29"/>
      <c r="O9" s="29"/>
      <c r="P9" s="30">
        <v>-63</v>
      </c>
      <c r="Q9" s="29">
        <v>-69</v>
      </c>
      <c r="R9" s="31"/>
      <c r="T9" s="69"/>
      <c r="U9" s="15" t="s">
        <v>6</v>
      </c>
      <c r="V9" s="14">
        <f>$AD$4</f>
        <v>47.5</v>
      </c>
      <c r="W9" s="12">
        <v>10</v>
      </c>
      <c r="X9" s="10">
        <v>150</v>
      </c>
      <c r="Y9" s="13">
        <f t="shared" si="2"/>
        <v>41.231056256176608</v>
      </c>
      <c r="Z9" s="11">
        <f t="shared" si="3"/>
        <v>90.553851381374173</v>
      </c>
      <c r="AA9" s="13">
        <f t="shared" si="4"/>
        <v>103.56157588603989</v>
      </c>
    </row>
    <row r="10" spans="1:32" ht="15.75" outlineLevel="1" x14ac:dyDescent="0.4">
      <c r="A10" s="53">
        <v>3</v>
      </c>
      <c r="B10" s="32" t="s">
        <v>5</v>
      </c>
      <c r="C10" s="26">
        <v>-77</v>
      </c>
      <c r="D10" s="51">
        <f t="shared" si="0"/>
        <v>25.036438947433361</v>
      </c>
      <c r="E10" s="26">
        <v>82.1</v>
      </c>
      <c r="F10" s="26">
        <v>3.8</v>
      </c>
      <c r="G10" s="26">
        <v>-12.1</v>
      </c>
      <c r="H10" s="26">
        <v>-72</v>
      </c>
      <c r="I10" s="51">
        <f t="shared" si="1"/>
        <v>36.5</v>
      </c>
      <c r="J10" s="26">
        <v>89</v>
      </c>
      <c r="K10" s="26">
        <v>5.2</v>
      </c>
      <c r="L10" s="26"/>
      <c r="M10" s="26"/>
      <c r="N10" s="26"/>
      <c r="O10" s="26"/>
      <c r="P10" s="27">
        <v>-65</v>
      </c>
      <c r="Q10" s="26">
        <v>-70</v>
      </c>
      <c r="R10" s="28"/>
      <c r="T10" s="68">
        <v>3</v>
      </c>
      <c r="U10" s="15" t="s">
        <v>5</v>
      </c>
      <c r="V10" s="14">
        <v>0</v>
      </c>
      <c r="W10" s="12">
        <v>10</v>
      </c>
      <c r="X10" s="10">
        <v>80</v>
      </c>
      <c r="Y10" s="13">
        <f t="shared" si="2"/>
        <v>57.063561052566634</v>
      </c>
      <c r="Z10" s="11">
        <f t="shared" si="3"/>
        <v>52.5</v>
      </c>
      <c r="AA10" s="13">
        <f t="shared" si="4"/>
        <v>57.063561052566634</v>
      </c>
      <c r="AC10" s="70" t="s">
        <v>32</v>
      </c>
      <c r="AD10" s="71"/>
      <c r="AE10" s="71"/>
      <c r="AF10" s="72"/>
    </row>
    <row r="11" spans="1:32" ht="15.75" outlineLevel="1" x14ac:dyDescent="0.4">
      <c r="A11" s="53"/>
      <c r="B11" s="32" t="s">
        <v>6</v>
      </c>
      <c r="C11" s="29">
        <v>-69</v>
      </c>
      <c r="D11" s="50">
        <f t="shared" si="0"/>
        <v>22.401271872954375</v>
      </c>
      <c r="E11" s="29">
        <v>85.3</v>
      </c>
      <c r="F11" s="29">
        <v>1.5</v>
      </c>
      <c r="G11" s="47">
        <v>62</v>
      </c>
      <c r="H11" s="29">
        <v>-74</v>
      </c>
      <c r="I11" s="50">
        <f t="shared" si="1"/>
        <v>24.84419331891219</v>
      </c>
      <c r="J11" s="29">
        <v>127.1</v>
      </c>
      <c r="K11" s="29">
        <v>1.5</v>
      </c>
      <c r="L11" s="29"/>
      <c r="M11" s="29"/>
      <c r="N11" s="29"/>
      <c r="O11" s="29"/>
      <c r="P11" s="30">
        <v>-66</v>
      </c>
      <c r="Q11" s="29">
        <v>-69</v>
      </c>
      <c r="R11" s="31"/>
      <c r="T11" s="69"/>
      <c r="U11" s="15" t="s">
        <v>6</v>
      </c>
      <c r="V11" s="14">
        <v>0</v>
      </c>
      <c r="W11" s="12">
        <v>10</v>
      </c>
      <c r="X11" s="10">
        <v>150</v>
      </c>
      <c r="Y11" s="13">
        <f t="shared" si="2"/>
        <v>62.898728127045622</v>
      </c>
      <c r="Z11" s="11">
        <f t="shared" si="3"/>
        <v>102.2558066810878</v>
      </c>
      <c r="AA11" s="13">
        <f t="shared" si="4"/>
        <v>62.898728127045622</v>
      </c>
      <c r="AC11" s="73"/>
      <c r="AD11" s="74"/>
      <c r="AE11" s="74"/>
      <c r="AF11" s="75"/>
    </row>
    <row r="12" spans="1:32" ht="15.75" outlineLevel="1" x14ac:dyDescent="0.4">
      <c r="A12" s="53">
        <v>4</v>
      </c>
      <c r="B12" s="32" t="s">
        <v>5</v>
      </c>
      <c r="C12" s="26">
        <v>-80</v>
      </c>
      <c r="D12" s="51">
        <f t="shared" si="0"/>
        <v>89.875078027496073</v>
      </c>
      <c r="E12" s="26">
        <v>190</v>
      </c>
      <c r="F12" s="26">
        <v>2.2999999999999998</v>
      </c>
      <c r="G12" s="26">
        <v>-40</v>
      </c>
      <c r="H12" s="26">
        <v>-74</v>
      </c>
      <c r="I12" s="51">
        <f t="shared" si="1"/>
        <v>32.403893520284328</v>
      </c>
      <c r="J12" s="26">
        <v>130</v>
      </c>
      <c r="K12" s="26">
        <v>1.7</v>
      </c>
      <c r="L12" s="26"/>
      <c r="M12" s="26"/>
      <c r="N12" s="26"/>
      <c r="O12" s="26"/>
      <c r="P12" s="27">
        <v>-74</v>
      </c>
      <c r="Q12" s="26">
        <v>-72</v>
      </c>
      <c r="R12" s="28"/>
      <c r="T12" s="68">
        <v>4</v>
      </c>
      <c r="U12" s="15" t="s">
        <v>5</v>
      </c>
      <c r="V12" s="14">
        <f>$AF$4</f>
        <v>-47.5</v>
      </c>
      <c r="W12" s="12">
        <v>10</v>
      </c>
      <c r="X12" s="10">
        <v>80</v>
      </c>
      <c r="Y12" s="13">
        <f t="shared" si="2"/>
        <v>100.12492197250393</v>
      </c>
      <c r="Z12" s="11">
        <f t="shared" si="3"/>
        <v>97.596106479715672</v>
      </c>
      <c r="AA12" s="13">
        <f t="shared" si="4"/>
        <v>31.622776601683793</v>
      </c>
      <c r="AC12" s="73"/>
      <c r="AD12" s="74"/>
      <c r="AE12" s="74"/>
      <c r="AF12" s="75"/>
    </row>
    <row r="13" spans="1:32" ht="15.75" outlineLevel="1" x14ac:dyDescent="0.4">
      <c r="A13" s="53"/>
      <c r="B13" s="32" t="s">
        <v>6</v>
      </c>
      <c r="C13" s="29">
        <v>-76</v>
      </c>
      <c r="D13" s="50">
        <f t="shared" si="0"/>
        <v>35.338424113960116</v>
      </c>
      <c r="E13" s="29">
        <v>138.9</v>
      </c>
      <c r="F13" s="29">
        <v>1.2</v>
      </c>
      <c r="G13" s="47">
        <v>66</v>
      </c>
      <c r="H13" s="29">
        <v>-74</v>
      </c>
      <c r="I13" s="50">
        <f t="shared" si="1"/>
        <v>37.655952515933137</v>
      </c>
      <c r="J13" s="29">
        <v>168.9</v>
      </c>
      <c r="K13" s="29">
        <v>1.2</v>
      </c>
      <c r="L13" s="29"/>
      <c r="M13" s="29"/>
      <c r="N13" s="29"/>
      <c r="O13" s="29"/>
      <c r="P13" s="30">
        <v>-73</v>
      </c>
      <c r="Q13" s="29">
        <v>-68</v>
      </c>
      <c r="R13" s="31"/>
      <c r="T13" s="69"/>
      <c r="U13" s="15" t="s">
        <v>6</v>
      </c>
      <c r="V13" s="14">
        <f>$AF$4</f>
        <v>-47.5</v>
      </c>
      <c r="W13" s="12">
        <v>10</v>
      </c>
      <c r="X13" s="10">
        <v>150</v>
      </c>
      <c r="Y13" s="13">
        <f t="shared" si="2"/>
        <v>103.56157588603989</v>
      </c>
      <c r="Z13" s="11">
        <f t="shared" si="3"/>
        <v>131.24404748406687</v>
      </c>
      <c r="AA13" s="13">
        <f t="shared" si="4"/>
        <v>41.231056256176608</v>
      </c>
      <c r="AC13" s="73"/>
      <c r="AD13" s="74"/>
      <c r="AE13" s="74"/>
      <c r="AF13" s="75"/>
    </row>
    <row r="14" spans="1:32" ht="15.75" outlineLevel="1" x14ac:dyDescent="0.4">
      <c r="A14" s="53">
        <v>5</v>
      </c>
      <c r="B14" s="32" t="s">
        <v>5</v>
      </c>
      <c r="C14" s="26">
        <v>-75</v>
      </c>
      <c r="D14" s="51">
        <f t="shared" si="0"/>
        <v>10.517960675006307</v>
      </c>
      <c r="E14" s="26">
        <v>77.599999999999994</v>
      </c>
      <c r="F14" s="26">
        <v>1.4</v>
      </c>
      <c r="G14" s="26">
        <v>-40</v>
      </c>
      <c r="H14" s="26">
        <v>-66</v>
      </c>
      <c r="I14" s="51">
        <f t="shared" si="1"/>
        <v>-2.0455532033675823</v>
      </c>
      <c r="J14" s="26">
        <v>61.2</v>
      </c>
      <c r="K14" s="26">
        <v>1.6</v>
      </c>
      <c r="L14" s="26"/>
      <c r="M14" s="26"/>
      <c r="N14" s="26"/>
      <c r="O14" s="26"/>
      <c r="P14" s="27">
        <v>-73</v>
      </c>
      <c r="Q14" s="26">
        <v>-66</v>
      </c>
      <c r="R14" s="28"/>
      <c r="T14" s="68">
        <v>5</v>
      </c>
      <c r="U14" s="15" t="s">
        <v>5</v>
      </c>
      <c r="V14" s="14">
        <f>$AD$4</f>
        <v>47.5</v>
      </c>
      <c r="W14" s="12">
        <v>60</v>
      </c>
      <c r="X14" s="10">
        <v>80</v>
      </c>
      <c r="Y14" s="13">
        <f t="shared" si="2"/>
        <v>67.082039324993687</v>
      </c>
      <c r="Z14" s="11">
        <f t="shared" si="3"/>
        <v>63.245553203367585</v>
      </c>
      <c r="AA14" s="13">
        <f t="shared" si="4"/>
        <v>116.29703349613007</v>
      </c>
      <c r="AC14" s="73"/>
      <c r="AD14" s="74"/>
      <c r="AE14" s="74"/>
      <c r="AF14" s="75"/>
    </row>
    <row r="15" spans="1:32" ht="15.75" outlineLevel="1" x14ac:dyDescent="0.4">
      <c r="A15" s="53"/>
      <c r="B15" s="32" t="s">
        <v>6</v>
      </c>
      <c r="C15" s="29">
        <v>-71</v>
      </c>
      <c r="D15" s="50">
        <f t="shared" si="0"/>
        <v>8.2889744907202214</v>
      </c>
      <c r="E15" s="29">
        <v>80.400000000000006</v>
      </c>
      <c r="F15" s="29">
        <v>1.3</v>
      </c>
      <c r="G15" s="47">
        <v>60</v>
      </c>
      <c r="H15" s="29">
        <v>-71</v>
      </c>
      <c r="I15" s="50">
        <f t="shared" si="1"/>
        <v>15.333461736080324</v>
      </c>
      <c r="J15" s="29">
        <v>123.5</v>
      </c>
      <c r="K15" s="29">
        <v>1.4</v>
      </c>
      <c r="L15" s="29"/>
      <c r="M15" s="29"/>
      <c r="N15" s="29"/>
      <c r="O15" s="29"/>
      <c r="P15" s="30">
        <v>-71</v>
      </c>
      <c r="Q15" s="29">
        <v>-65</v>
      </c>
      <c r="R15" s="31"/>
      <c r="T15" s="69"/>
      <c r="U15" s="15" t="s">
        <v>6</v>
      </c>
      <c r="V15" s="14">
        <f>$AD$4</f>
        <v>47.5</v>
      </c>
      <c r="W15" s="12">
        <v>60</v>
      </c>
      <c r="X15" s="10">
        <v>150</v>
      </c>
      <c r="Y15" s="13">
        <f t="shared" si="2"/>
        <v>72.111025509279784</v>
      </c>
      <c r="Z15" s="11">
        <f t="shared" si="3"/>
        <v>108.16653826391968</v>
      </c>
      <c r="AA15" s="13">
        <f t="shared" si="4"/>
        <v>119.26860441876563</v>
      </c>
      <c r="AC15" s="76"/>
      <c r="AD15" s="77"/>
      <c r="AE15" s="77"/>
      <c r="AF15" s="78"/>
    </row>
    <row r="16" spans="1:32" ht="15.75" outlineLevel="1" x14ac:dyDescent="0.4">
      <c r="A16" s="53">
        <v>6</v>
      </c>
      <c r="B16" s="32" t="s">
        <v>5</v>
      </c>
      <c r="C16" s="26">
        <v>-77</v>
      </c>
      <c r="D16" s="51">
        <f t="shared" si="0"/>
        <v>23.903588886132013</v>
      </c>
      <c r="E16" s="26">
        <v>106.1</v>
      </c>
      <c r="F16" s="26">
        <v>14.3</v>
      </c>
      <c r="G16" s="26">
        <v>-40</v>
      </c>
      <c r="H16" s="26">
        <v>-73</v>
      </c>
      <c r="I16" s="51">
        <f t="shared" si="1"/>
        <v>16.203539902218125</v>
      </c>
      <c r="J16" s="26">
        <v>95.3</v>
      </c>
      <c r="K16" s="26">
        <v>3.3</v>
      </c>
      <c r="L16" s="26"/>
      <c r="M16" s="26"/>
      <c r="N16" s="26"/>
      <c r="O16" s="26"/>
      <c r="P16" s="27">
        <v>-70</v>
      </c>
      <c r="Q16" s="26">
        <v>-66</v>
      </c>
      <c r="R16" s="28"/>
      <c r="T16" s="68">
        <v>6</v>
      </c>
      <c r="U16" s="15" t="s">
        <v>5</v>
      </c>
      <c r="V16" s="14">
        <v>0</v>
      </c>
      <c r="W16" s="12">
        <v>60</v>
      </c>
      <c r="X16" s="10">
        <v>80</v>
      </c>
      <c r="Y16" s="13">
        <f t="shared" si="2"/>
        <v>82.196411113867981</v>
      </c>
      <c r="Z16" s="11">
        <f t="shared" si="3"/>
        <v>79.096460097781872</v>
      </c>
      <c r="AA16" s="13">
        <f t="shared" si="4"/>
        <v>82.196411113867981</v>
      </c>
    </row>
    <row r="17" spans="1:27" ht="15.75" outlineLevel="1" x14ac:dyDescent="0.4">
      <c r="A17" s="53"/>
      <c r="B17" s="32" t="s">
        <v>6</v>
      </c>
      <c r="C17" s="29">
        <v>-78</v>
      </c>
      <c r="D17" s="50">
        <f t="shared" si="0"/>
        <v>12.450419804147273</v>
      </c>
      <c r="E17" s="29">
        <v>98.8</v>
      </c>
      <c r="F17" s="29">
        <v>2.8</v>
      </c>
      <c r="G17" s="29">
        <v>70</v>
      </c>
      <c r="H17" s="29">
        <v>-67</v>
      </c>
      <c r="I17" s="50">
        <f t="shared" si="1"/>
        <v>21.063426492893399</v>
      </c>
      <c r="J17" s="29">
        <v>139.19999999999999</v>
      </c>
      <c r="K17" s="29">
        <v>4.2</v>
      </c>
      <c r="L17" s="29"/>
      <c r="M17" s="29"/>
      <c r="N17" s="29"/>
      <c r="O17" s="29"/>
      <c r="P17" s="30">
        <v>-73</v>
      </c>
      <c r="Q17" s="29">
        <v>-63</v>
      </c>
      <c r="R17" s="31"/>
      <c r="T17" s="69"/>
      <c r="U17" s="15" t="s">
        <v>6</v>
      </c>
      <c r="V17" s="14">
        <v>0</v>
      </c>
      <c r="W17" s="12">
        <v>60</v>
      </c>
      <c r="X17" s="10">
        <v>150</v>
      </c>
      <c r="Y17" s="13">
        <f t="shared" si="2"/>
        <v>86.349580195852724</v>
      </c>
      <c r="Z17" s="11">
        <f t="shared" si="3"/>
        <v>118.13657350710659</v>
      </c>
      <c r="AA17" s="13">
        <f t="shared" si="4"/>
        <v>86.349580195852724</v>
      </c>
    </row>
    <row r="18" spans="1:27" ht="15.75" outlineLevel="1" x14ac:dyDescent="0.4">
      <c r="A18" s="53">
        <v>7</v>
      </c>
      <c r="B18" s="32" t="s">
        <v>5</v>
      </c>
      <c r="C18" s="26">
        <v>-80</v>
      </c>
      <c r="D18" s="51">
        <f t="shared" si="0"/>
        <v>71.702966503869931</v>
      </c>
      <c r="E18" s="26">
        <v>188</v>
      </c>
      <c r="F18" s="26">
        <v>10.199999999999999</v>
      </c>
      <c r="G18" s="26">
        <v>-40</v>
      </c>
      <c r="H18" s="26">
        <v>-75</v>
      </c>
      <c r="I18" s="51">
        <f t="shared" si="1"/>
        <v>27.172877894866744</v>
      </c>
      <c r="J18" s="26">
        <v>141.30000000000001</v>
      </c>
      <c r="K18" s="26">
        <v>1.1000000000000001</v>
      </c>
      <c r="L18" s="26"/>
      <c r="M18" s="26"/>
      <c r="N18" s="26"/>
      <c r="O18" s="26"/>
      <c r="P18" s="27">
        <v>-74</v>
      </c>
      <c r="Q18" s="26">
        <v>-66</v>
      </c>
      <c r="R18" s="28"/>
      <c r="T18" s="68">
        <v>7</v>
      </c>
      <c r="U18" s="15" t="s">
        <v>5</v>
      </c>
      <c r="V18" s="14">
        <f>$AF$4</f>
        <v>-47.5</v>
      </c>
      <c r="W18" s="12">
        <v>60</v>
      </c>
      <c r="X18" s="10">
        <v>80</v>
      </c>
      <c r="Y18" s="13">
        <f t="shared" si="2"/>
        <v>116.29703349613007</v>
      </c>
      <c r="Z18" s="11">
        <f t="shared" si="3"/>
        <v>114.12712210513327</v>
      </c>
      <c r="AA18" s="13">
        <f t="shared" si="4"/>
        <v>67.082039324993687</v>
      </c>
    </row>
    <row r="19" spans="1:27" ht="15.75" outlineLevel="1" x14ac:dyDescent="0.4">
      <c r="A19" s="53"/>
      <c r="B19" s="32" t="s">
        <v>6</v>
      </c>
      <c r="C19" s="29">
        <v>-78</v>
      </c>
      <c r="D19" s="50">
        <f t="shared" si="0"/>
        <v>30.631395581234372</v>
      </c>
      <c r="E19" s="29">
        <v>149.9</v>
      </c>
      <c r="F19" s="29">
        <v>2.2999999999999998</v>
      </c>
      <c r="G19" s="47">
        <v>59</v>
      </c>
      <c r="H19" s="29">
        <v>-75</v>
      </c>
      <c r="I19" s="50">
        <f t="shared" si="1"/>
        <v>32.338199511120337</v>
      </c>
      <c r="J19" s="29">
        <v>176.3</v>
      </c>
      <c r="K19" s="29">
        <v>4</v>
      </c>
      <c r="L19" s="29"/>
      <c r="M19" s="29"/>
      <c r="N19" s="29"/>
      <c r="O19" s="29"/>
      <c r="P19" s="30">
        <v>-74</v>
      </c>
      <c r="Q19" s="29">
        <v>-68</v>
      </c>
      <c r="R19" s="31"/>
      <c r="T19" s="69"/>
      <c r="U19" s="15" t="s">
        <v>6</v>
      </c>
      <c r="V19" s="14">
        <f>$AF$4</f>
        <v>-47.5</v>
      </c>
      <c r="W19" s="12">
        <v>60</v>
      </c>
      <c r="X19" s="10">
        <v>150</v>
      </c>
      <c r="Y19" s="13">
        <f t="shared" si="2"/>
        <v>119.26860441876563</v>
      </c>
      <c r="Z19" s="11">
        <f t="shared" si="3"/>
        <v>143.96180048887967</v>
      </c>
      <c r="AA19" s="13">
        <f t="shared" si="4"/>
        <v>72.111025509279784</v>
      </c>
    </row>
    <row r="20" spans="1:27" ht="15.75" outlineLevel="1" x14ac:dyDescent="0.4">
      <c r="A20" s="53">
        <v>8</v>
      </c>
      <c r="B20" s="32" t="s">
        <v>5</v>
      </c>
      <c r="C20" s="26">
        <v>-76</v>
      </c>
      <c r="D20" s="51">
        <f t="shared" si="0"/>
        <v>21.982457490086205</v>
      </c>
      <c r="E20" s="26">
        <v>136</v>
      </c>
      <c r="F20" s="26">
        <v>3.2</v>
      </c>
      <c r="G20" s="26">
        <v>-40</v>
      </c>
      <c r="H20" s="26">
        <v>-69</v>
      </c>
      <c r="I20" s="51">
        <f t="shared" si="1"/>
        <v>6.496601125010514</v>
      </c>
      <c r="J20" s="26">
        <v>118.3</v>
      </c>
      <c r="K20" s="26">
        <v>3.8</v>
      </c>
      <c r="L20" s="26"/>
      <c r="M20" s="26"/>
      <c r="N20" s="26"/>
      <c r="O20" s="26"/>
      <c r="P20" s="27">
        <v>-75</v>
      </c>
      <c r="Q20" s="26">
        <v>-70</v>
      </c>
      <c r="R20" s="28"/>
      <c r="T20" s="68">
        <v>8</v>
      </c>
      <c r="U20" s="15" t="s">
        <v>5</v>
      </c>
      <c r="V20" s="14">
        <f>$AD$4</f>
        <v>47.5</v>
      </c>
      <c r="W20" s="12">
        <v>110</v>
      </c>
      <c r="X20" s="10">
        <v>80</v>
      </c>
      <c r="Y20" s="13">
        <f t="shared" si="2"/>
        <v>114.0175425099138</v>
      </c>
      <c r="Z20" s="11">
        <f t="shared" si="3"/>
        <v>111.80339887498948</v>
      </c>
      <c r="AA20" s="13">
        <f t="shared" si="4"/>
        <v>148.40822079655831</v>
      </c>
    </row>
    <row r="21" spans="1:27" ht="15.75" outlineLevel="1" x14ac:dyDescent="0.4">
      <c r="A21" s="53"/>
      <c r="B21" s="32" t="s">
        <v>6</v>
      </c>
      <c r="C21" s="29">
        <v>-76</v>
      </c>
      <c r="D21" s="50">
        <f t="shared" si="0"/>
        <v>8.5530008928037375</v>
      </c>
      <c r="E21" s="29">
        <v>125.6</v>
      </c>
      <c r="F21" s="29">
        <v>1.7</v>
      </c>
      <c r="G21" s="47">
        <v>55</v>
      </c>
      <c r="H21" s="29">
        <v>-74</v>
      </c>
      <c r="I21" s="50">
        <f t="shared" si="1"/>
        <v>12.073295964481048</v>
      </c>
      <c r="J21" s="29">
        <v>154.19999999999999</v>
      </c>
      <c r="K21" s="29">
        <v>3.6</v>
      </c>
      <c r="L21" s="29"/>
      <c r="M21" s="29"/>
      <c r="N21" s="29"/>
      <c r="O21" s="29"/>
      <c r="P21" s="30">
        <v>-73</v>
      </c>
      <c r="Q21" s="29">
        <v>-66</v>
      </c>
      <c r="R21" s="31"/>
      <c r="T21" s="69"/>
      <c r="U21" s="15" t="s">
        <v>6</v>
      </c>
      <c r="V21" s="14">
        <f>$AD$4</f>
        <v>47.5</v>
      </c>
      <c r="W21" s="12">
        <v>110</v>
      </c>
      <c r="X21" s="10">
        <v>150</v>
      </c>
      <c r="Y21" s="13">
        <f t="shared" si="2"/>
        <v>117.04699910719626</v>
      </c>
      <c r="Z21" s="11">
        <f t="shared" si="3"/>
        <v>142.12670403551894</v>
      </c>
      <c r="AA21" s="13">
        <f t="shared" si="4"/>
        <v>150.74813431681335</v>
      </c>
    </row>
    <row r="22" spans="1:27" ht="15.75" outlineLevel="1" x14ac:dyDescent="0.4">
      <c r="A22" s="53">
        <v>9</v>
      </c>
      <c r="B22" s="32" t="s">
        <v>5</v>
      </c>
      <c r="C22" s="26">
        <v>-79</v>
      </c>
      <c r="D22" s="51">
        <f t="shared" si="0"/>
        <v>29.08380672964374</v>
      </c>
      <c r="E22" s="26">
        <v>152.6</v>
      </c>
      <c r="F22" s="26">
        <v>4.9000000000000004</v>
      </c>
      <c r="G22" s="26">
        <v>-40</v>
      </c>
      <c r="H22" s="26">
        <v>-72</v>
      </c>
      <c r="I22" s="51">
        <f t="shared" si="1"/>
        <v>10.824693867436594</v>
      </c>
      <c r="J22" s="26">
        <v>132.30000000000001</v>
      </c>
      <c r="K22" s="26">
        <v>4.4000000000000004</v>
      </c>
      <c r="L22" s="26"/>
      <c r="M22" s="26"/>
      <c r="N22" s="26"/>
      <c r="O22" s="26"/>
      <c r="P22" s="27">
        <v>-68</v>
      </c>
      <c r="Q22" s="26">
        <v>-73</v>
      </c>
      <c r="R22" s="28"/>
      <c r="T22" s="68">
        <v>9</v>
      </c>
      <c r="U22" s="15" t="s">
        <v>5</v>
      </c>
      <c r="V22" s="14">
        <v>0</v>
      </c>
      <c r="W22" s="12">
        <v>110</v>
      </c>
      <c r="X22" s="10">
        <v>80</v>
      </c>
      <c r="Y22" s="13">
        <f>SQRT(POWER($AD$4-V22,2)+POWER($AD$5-W22,2)+POWER($AD$6-X22,2))</f>
        <v>123.51619327035625</v>
      </c>
      <c r="Z22" s="11">
        <f t="shared" si="3"/>
        <v>121.47530613256342</v>
      </c>
      <c r="AA22" s="13">
        <f t="shared" si="4"/>
        <v>123.51619327035625</v>
      </c>
    </row>
    <row r="23" spans="1:27" ht="15.75" outlineLevel="1" x14ac:dyDescent="0.4">
      <c r="A23" s="53"/>
      <c r="B23" s="32" t="s">
        <v>6</v>
      </c>
      <c r="C23" s="29">
        <v>-81</v>
      </c>
      <c r="D23" s="50">
        <f t="shared" si="0"/>
        <v>1.781949033402185</v>
      </c>
      <c r="E23" s="29">
        <v>128.1</v>
      </c>
      <c r="F23" s="29">
        <v>4.9000000000000004</v>
      </c>
      <c r="G23" s="29">
        <v>77</v>
      </c>
      <c r="H23" s="29">
        <v>-71</v>
      </c>
      <c r="I23" s="50">
        <f t="shared" si="1"/>
        <v>13.945904293542924</v>
      </c>
      <c r="J23" s="29">
        <v>163.80000000000001</v>
      </c>
      <c r="K23" s="29">
        <v>1.6</v>
      </c>
      <c r="L23" s="29"/>
      <c r="M23" s="29"/>
      <c r="N23" s="29"/>
      <c r="O23" s="29"/>
      <c r="P23" s="30">
        <v>-77</v>
      </c>
      <c r="Q23" s="29">
        <v>-70</v>
      </c>
      <c r="R23" s="31"/>
      <c r="T23" s="69"/>
      <c r="U23" s="15" t="s">
        <v>6</v>
      </c>
      <c r="V23" s="14">
        <v>0</v>
      </c>
      <c r="W23" s="12">
        <v>110</v>
      </c>
      <c r="X23" s="10">
        <v>150</v>
      </c>
      <c r="Y23" s="13">
        <f t="shared" si="2"/>
        <v>126.31805096659781</v>
      </c>
      <c r="Z23" s="11">
        <f t="shared" si="3"/>
        <v>149.85409570645709</v>
      </c>
      <c r="AA23" s="13">
        <f t="shared" si="4"/>
        <v>126.31805096659781</v>
      </c>
    </row>
    <row r="24" spans="1:27" ht="15.75" outlineLevel="1" x14ac:dyDescent="0.4">
      <c r="A24" s="53">
        <v>10</v>
      </c>
      <c r="B24" s="32" t="s">
        <v>5</v>
      </c>
      <c r="C24" s="26">
        <v>-80</v>
      </c>
      <c r="D24" s="51">
        <f t="shared" si="0"/>
        <v>58.591779203441689</v>
      </c>
      <c r="E24" s="26">
        <v>207</v>
      </c>
      <c r="F24" s="26">
        <v>9</v>
      </c>
      <c r="G24" s="26">
        <v>-40</v>
      </c>
      <c r="H24" s="26">
        <v>-74</v>
      </c>
      <c r="I24" s="51">
        <f t="shared" si="1"/>
        <v>15.285992488787912</v>
      </c>
      <c r="J24" s="26">
        <v>162</v>
      </c>
      <c r="K24" s="26">
        <v>1.7</v>
      </c>
      <c r="L24" s="26"/>
      <c r="M24" s="26"/>
      <c r="N24" s="26"/>
      <c r="O24" s="26"/>
      <c r="P24" s="27">
        <v>-72</v>
      </c>
      <c r="Q24" s="26">
        <v>-67</v>
      </c>
      <c r="R24" s="28"/>
      <c r="T24" s="68">
        <v>10</v>
      </c>
      <c r="U24" s="15" t="s">
        <v>5</v>
      </c>
      <c r="V24" s="14">
        <f>$AF$4</f>
        <v>-47.5</v>
      </c>
      <c r="W24" s="12">
        <v>110</v>
      </c>
      <c r="X24" s="10">
        <v>80</v>
      </c>
      <c r="Y24" s="13">
        <f t="shared" si="2"/>
        <v>148.40822079655831</v>
      </c>
      <c r="Z24" s="11">
        <f t="shared" si="3"/>
        <v>146.71400751121209</v>
      </c>
      <c r="AA24" s="13">
        <f t="shared" si="4"/>
        <v>114.0175425099138</v>
      </c>
    </row>
    <row r="25" spans="1:27" ht="15.75" outlineLevel="1" x14ac:dyDescent="0.4">
      <c r="A25" s="53"/>
      <c r="B25" s="32" t="s">
        <v>6</v>
      </c>
      <c r="C25" s="29">
        <v>-78</v>
      </c>
      <c r="D25" s="50">
        <f t="shared" si="0"/>
        <v>17.751865683186651</v>
      </c>
      <c r="E25" s="29">
        <v>168.5</v>
      </c>
      <c r="F25" s="29">
        <v>1.5</v>
      </c>
      <c r="G25" s="29">
        <v>20</v>
      </c>
      <c r="H25" s="29">
        <v>-75</v>
      </c>
      <c r="I25" s="50">
        <f t="shared" si="1"/>
        <v>10.54679002721241</v>
      </c>
      <c r="J25" s="29">
        <v>181.5</v>
      </c>
      <c r="K25" s="29">
        <v>1.6</v>
      </c>
      <c r="L25" s="29"/>
      <c r="M25" s="29"/>
      <c r="N25" s="29"/>
      <c r="O25" s="29"/>
      <c r="P25" s="30">
        <v>-75</v>
      </c>
      <c r="Q25" s="29">
        <v>-70</v>
      </c>
      <c r="R25" s="31"/>
      <c r="T25" s="69"/>
      <c r="U25" s="15" t="s">
        <v>6</v>
      </c>
      <c r="V25" s="14">
        <f>$AF$4</f>
        <v>-47.5</v>
      </c>
      <c r="W25" s="12">
        <v>110</v>
      </c>
      <c r="X25" s="10">
        <v>150</v>
      </c>
      <c r="Y25" s="13">
        <f t="shared" si="2"/>
        <v>150.74813431681335</v>
      </c>
      <c r="Z25" s="11">
        <f t="shared" si="3"/>
        <v>170.95320997278759</v>
      </c>
      <c r="AA25" s="13">
        <f t="shared" si="4"/>
        <v>117.04699910719626</v>
      </c>
    </row>
    <row r="26" spans="1:27" ht="15.75" outlineLevel="1" x14ac:dyDescent="0.4">
      <c r="A26" s="53">
        <v>11</v>
      </c>
      <c r="B26" s="32" t="s">
        <v>5</v>
      </c>
      <c r="C26" s="26">
        <v>-79</v>
      </c>
      <c r="D26" s="51">
        <f t="shared" si="0"/>
        <v>12.611794039002945</v>
      </c>
      <c r="E26" s="26">
        <v>175.4</v>
      </c>
      <c r="F26" s="26">
        <v>1.1000000000000001</v>
      </c>
      <c r="G26" s="26">
        <v>-40</v>
      </c>
      <c r="H26" s="26">
        <v>-72</v>
      </c>
      <c r="I26" s="51">
        <f>J26-Z26</f>
        <v>-6.8451549659709769</v>
      </c>
      <c r="J26" s="26">
        <v>154.4</v>
      </c>
      <c r="K26" s="26">
        <v>2</v>
      </c>
      <c r="L26" s="26"/>
      <c r="M26" s="26"/>
      <c r="N26" s="26"/>
      <c r="O26" s="26"/>
      <c r="P26" s="27">
        <v>-70</v>
      </c>
      <c r="Q26" s="26">
        <v>-70</v>
      </c>
      <c r="R26" s="28"/>
      <c r="T26" s="68">
        <v>11</v>
      </c>
      <c r="U26" s="15" t="s">
        <v>5</v>
      </c>
      <c r="V26" s="14">
        <f>$AD$4</f>
        <v>47.5</v>
      </c>
      <c r="W26" s="12">
        <v>160</v>
      </c>
      <c r="X26" s="10">
        <v>80</v>
      </c>
      <c r="Y26" s="13">
        <f t="shared" si="2"/>
        <v>162.78820596099706</v>
      </c>
      <c r="Z26" s="11">
        <f t="shared" si="3"/>
        <v>161.24515496597098</v>
      </c>
      <c r="AA26" s="13">
        <f t="shared" si="4"/>
        <v>188.48076824970764</v>
      </c>
    </row>
    <row r="27" spans="1:27" ht="15.75" outlineLevel="1" x14ac:dyDescent="0.4">
      <c r="A27" s="53"/>
      <c r="B27" s="32" t="s">
        <v>6</v>
      </c>
      <c r="C27" s="29">
        <v>-79</v>
      </c>
      <c r="D27" s="50">
        <f t="shared" si="0"/>
        <v>4.6757749752935638</v>
      </c>
      <c r="E27" s="29">
        <v>169.6</v>
      </c>
      <c r="F27" s="29">
        <v>2.2999999999999998</v>
      </c>
      <c r="G27" s="29">
        <v>-16</v>
      </c>
      <c r="H27" s="29">
        <v>-75</v>
      </c>
      <c r="I27" s="50">
        <f t="shared" si="1"/>
        <v>-11.375597506858213</v>
      </c>
      <c r="J27" s="29">
        <v>172.2</v>
      </c>
      <c r="K27" s="29">
        <v>4.7</v>
      </c>
      <c r="L27" s="29"/>
      <c r="M27" s="29"/>
      <c r="N27" s="29"/>
      <c r="O27" s="29"/>
      <c r="P27" s="30">
        <v>-78</v>
      </c>
      <c r="Q27" s="29">
        <v>-75</v>
      </c>
      <c r="R27" s="31"/>
      <c r="T27" s="69"/>
      <c r="U27" s="15" t="s">
        <v>6</v>
      </c>
      <c r="V27" s="14">
        <f>$AD$4</f>
        <v>47.5</v>
      </c>
      <c r="W27" s="12">
        <v>160</v>
      </c>
      <c r="X27" s="10">
        <v>150</v>
      </c>
      <c r="Y27" s="13">
        <f t="shared" si="2"/>
        <v>164.92422502470643</v>
      </c>
      <c r="Z27" s="11">
        <f>SQRT(POWER($AE$4-V27,2)+POWER($AE$5-W27,2)+POWER($AE$6-X27,2))</f>
        <v>183.5755975068582</v>
      </c>
      <c r="AA27" s="13">
        <f t="shared" si="4"/>
        <v>190.32866310674279</v>
      </c>
    </row>
    <row r="28" spans="1:27" ht="27.75" outlineLevel="1" x14ac:dyDescent="0.4">
      <c r="A28" s="53">
        <v>12</v>
      </c>
      <c r="B28" s="32" t="s">
        <v>5</v>
      </c>
      <c r="C28" s="26">
        <v>-79</v>
      </c>
      <c r="D28" s="51">
        <f t="shared" si="0"/>
        <v>9.4233211788838105</v>
      </c>
      <c r="E28" s="26">
        <v>179</v>
      </c>
      <c r="F28" s="26">
        <v>3.4</v>
      </c>
      <c r="G28" s="26">
        <v>-34</v>
      </c>
      <c r="H28" s="26">
        <v>-74</v>
      </c>
      <c r="I28" s="51">
        <f t="shared" si="1"/>
        <v>-0.59595474014238903</v>
      </c>
      <c r="J28" s="26">
        <v>167.5</v>
      </c>
      <c r="K28" s="26">
        <v>2.1</v>
      </c>
      <c r="L28" s="26"/>
      <c r="M28" s="26"/>
      <c r="N28" s="26"/>
      <c r="O28" s="26"/>
      <c r="P28" s="27">
        <v>-70</v>
      </c>
      <c r="Q28" s="26">
        <v>-74</v>
      </c>
      <c r="R28" s="28" t="s">
        <v>28</v>
      </c>
      <c r="T28" s="68">
        <v>12</v>
      </c>
      <c r="U28" s="15" t="s">
        <v>5</v>
      </c>
      <c r="V28" s="14">
        <v>0</v>
      </c>
      <c r="W28" s="12">
        <v>160</v>
      </c>
      <c r="X28" s="10">
        <v>80</v>
      </c>
      <c r="Y28" s="13">
        <f t="shared" si="2"/>
        <v>169.57667882111619</v>
      </c>
      <c r="Z28" s="11">
        <f t="shared" si="3"/>
        <v>168.09595474014239</v>
      </c>
      <c r="AA28" s="13">
        <f t="shared" si="4"/>
        <v>169.57667882111619</v>
      </c>
    </row>
    <row r="29" spans="1:27" ht="15.75" outlineLevel="1" x14ac:dyDescent="0.4">
      <c r="A29" s="53"/>
      <c r="B29" s="32" t="s">
        <v>6</v>
      </c>
      <c r="C29" s="29">
        <v>-82</v>
      </c>
      <c r="D29" s="50">
        <f t="shared" si="0"/>
        <v>12.071768056650996</v>
      </c>
      <c r="E29" s="29">
        <v>183.7</v>
      </c>
      <c r="F29" s="29">
        <v>4</v>
      </c>
      <c r="G29" s="29">
        <v>14.7</v>
      </c>
      <c r="H29" s="29">
        <v>-72</v>
      </c>
      <c r="I29" s="50">
        <f t="shared" si="1"/>
        <v>6.1786668119855221</v>
      </c>
      <c r="J29" s="29">
        <v>195.8</v>
      </c>
      <c r="K29" s="29">
        <v>1.5</v>
      </c>
      <c r="L29" s="29"/>
      <c r="M29" s="29"/>
      <c r="N29" s="29"/>
      <c r="O29" s="29"/>
      <c r="P29" s="30">
        <v>-77</v>
      </c>
      <c r="Q29" s="29">
        <v>-70</v>
      </c>
      <c r="R29" s="31"/>
      <c r="T29" s="69"/>
      <c r="U29" s="15" t="s">
        <v>6</v>
      </c>
      <c r="V29" s="14">
        <v>0</v>
      </c>
      <c r="W29" s="12">
        <v>160</v>
      </c>
      <c r="X29" s="10">
        <v>150</v>
      </c>
      <c r="Y29" s="13">
        <f t="shared" si="2"/>
        <v>171.62823194334899</v>
      </c>
      <c r="Z29" s="11">
        <f t="shared" si="3"/>
        <v>189.62133318801449</v>
      </c>
      <c r="AA29" s="13">
        <f t="shared" si="4"/>
        <v>171.62823194334899</v>
      </c>
    </row>
    <row r="30" spans="1:27" ht="15.75" outlineLevel="1" x14ac:dyDescent="0.4">
      <c r="A30" s="53">
        <v>13</v>
      </c>
      <c r="B30" s="32" t="s">
        <v>5</v>
      </c>
      <c r="C30" s="26">
        <v>-80</v>
      </c>
      <c r="D30" s="51">
        <f t="shared" si="0"/>
        <v>28.219231750292352</v>
      </c>
      <c r="E30" s="26">
        <v>216.7</v>
      </c>
      <c r="F30" s="26">
        <v>4.3</v>
      </c>
      <c r="G30" s="26">
        <v>-40</v>
      </c>
      <c r="H30" s="26">
        <v>-74</v>
      </c>
      <c r="I30" s="51">
        <f t="shared" si="1"/>
        <v>11.25032727787098</v>
      </c>
      <c r="J30" s="26">
        <v>198.4</v>
      </c>
      <c r="K30" s="26">
        <v>2.4</v>
      </c>
      <c r="L30" s="26"/>
      <c r="M30" s="26"/>
      <c r="N30" s="26"/>
      <c r="O30" s="26"/>
      <c r="P30" s="27">
        <v>-74</v>
      </c>
      <c r="Q30" s="26">
        <v>-68</v>
      </c>
      <c r="R30" s="28"/>
      <c r="T30" s="68">
        <v>13</v>
      </c>
      <c r="U30" s="15" t="s">
        <v>5</v>
      </c>
      <c r="V30" s="14">
        <f>$AF$4</f>
        <v>-47.5</v>
      </c>
      <c r="W30" s="12">
        <v>160</v>
      </c>
      <c r="X30" s="10">
        <v>80</v>
      </c>
      <c r="Y30" s="13">
        <f t="shared" si="2"/>
        <v>188.48076824970764</v>
      </c>
      <c r="Z30" s="11">
        <f t="shared" si="3"/>
        <v>187.14967272212903</v>
      </c>
      <c r="AA30" s="13">
        <f t="shared" si="4"/>
        <v>162.78820596099706</v>
      </c>
    </row>
    <row r="31" spans="1:27" ht="27.75" outlineLevel="1" x14ac:dyDescent="0.4">
      <c r="A31" s="53"/>
      <c r="B31" s="32" t="s">
        <v>6</v>
      </c>
      <c r="C31" s="29">
        <v>-81</v>
      </c>
      <c r="D31" s="50">
        <f t="shared" si="0"/>
        <v>26.871336893257194</v>
      </c>
      <c r="E31" s="29">
        <v>217.2</v>
      </c>
      <c r="F31" s="29">
        <v>3</v>
      </c>
      <c r="G31" s="29">
        <v>-32</v>
      </c>
      <c r="H31" s="29">
        <v>-78</v>
      </c>
      <c r="I31" s="50">
        <f t="shared" si="1"/>
        <v>7.399733914056128</v>
      </c>
      <c r="J31" s="29">
        <v>214.1</v>
      </c>
      <c r="K31" s="29">
        <v>4.4000000000000004</v>
      </c>
      <c r="L31" s="29"/>
      <c r="M31" s="29"/>
      <c r="N31" s="29"/>
      <c r="O31" s="29"/>
      <c r="P31" s="30">
        <v>-80</v>
      </c>
      <c r="Q31" s="29">
        <v>-71</v>
      </c>
      <c r="R31" s="31" t="s">
        <v>28</v>
      </c>
      <c r="T31" s="69"/>
      <c r="U31" s="15" t="s">
        <v>6</v>
      </c>
      <c r="V31" s="14">
        <f>$AF$4</f>
        <v>-47.5</v>
      </c>
      <c r="W31" s="12">
        <v>160</v>
      </c>
      <c r="X31" s="10">
        <v>150</v>
      </c>
      <c r="Y31" s="13">
        <f t="shared" si="2"/>
        <v>190.32866310674279</v>
      </c>
      <c r="Z31" s="11">
        <f t="shared" si="3"/>
        <v>206.70026608594387</v>
      </c>
      <c r="AA31" s="13">
        <f t="shared" si="4"/>
        <v>164.92422502470643</v>
      </c>
    </row>
    <row r="32" spans="1:27" ht="15.75" outlineLevel="1" x14ac:dyDescent="0.4">
      <c r="A32" s="53">
        <v>14</v>
      </c>
      <c r="B32" s="32" t="s">
        <v>5</v>
      </c>
      <c r="C32" s="26">
        <v>-78</v>
      </c>
      <c r="D32" s="51">
        <f t="shared" si="0"/>
        <v>12.614972916716283</v>
      </c>
      <c r="E32" s="26">
        <v>230</v>
      </c>
      <c r="F32" s="26">
        <v>1.9</v>
      </c>
      <c r="G32" s="26">
        <v>-40</v>
      </c>
      <c r="H32" s="26">
        <v>-75</v>
      </c>
      <c r="I32" s="51">
        <f t="shared" si="1"/>
        <v>-8.2319356616871175</v>
      </c>
      <c r="J32" s="26">
        <v>208</v>
      </c>
      <c r="K32" s="26">
        <v>1.2</v>
      </c>
      <c r="L32" s="26"/>
      <c r="M32" s="26"/>
      <c r="N32" s="26"/>
      <c r="O32" s="26"/>
      <c r="P32" s="27">
        <v>-70</v>
      </c>
      <c r="Q32" s="26">
        <v>-74</v>
      </c>
      <c r="R32" s="28"/>
      <c r="T32" s="68">
        <v>14</v>
      </c>
      <c r="U32" s="15" t="s">
        <v>5</v>
      </c>
      <c r="V32" s="14">
        <v>0</v>
      </c>
      <c r="W32" s="12">
        <v>210</v>
      </c>
      <c r="X32" s="10">
        <v>80</v>
      </c>
      <c r="Y32" s="13">
        <f>SQRT(POWER($AD$4-V32,2)+POWER($AD$5-W32,2)+POWER($AD$6-X32,2))</f>
        <v>217.38502708328372</v>
      </c>
      <c r="Z32" s="11">
        <f t="shared" si="3"/>
        <v>216.23193566168712</v>
      </c>
      <c r="AA32" s="13">
        <f t="shared" si="4"/>
        <v>217.38502708328372</v>
      </c>
    </row>
    <row r="33" spans="1:32" ht="15.75" outlineLevel="1" x14ac:dyDescent="0.4">
      <c r="A33" s="57"/>
      <c r="B33" s="33" t="s">
        <v>6</v>
      </c>
      <c r="C33" s="34">
        <v>-84</v>
      </c>
      <c r="D33" s="52">
        <f t="shared" si="0"/>
        <v>17.410845017384474</v>
      </c>
      <c r="E33" s="34">
        <v>236.4</v>
      </c>
      <c r="F33" s="34">
        <v>2.2999999999999998</v>
      </c>
      <c r="G33" s="34">
        <v>9.3000000000000007</v>
      </c>
      <c r="H33" s="34">
        <v>-76</v>
      </c>
      <c r="I33" s="52">
        <f t="shared" si="1"/>
        <v>10.241370418833668</v>
      </c>
      <c r="J33" s="34">
        <v>243.6</v>
      </c>
      <c r="K33" s="34">
        <v>2.9</v>
      </c>
      <c r="L33" s="34"/>
      <c r="M33" s="34"/>
      <c r="N33" s="34"/>
      <c r="O33" s="34"/>
      <c r="P33" s="35">
        <v>-80</v>
      </c>
      <c r="Q33" s="34">
        <v>-74</v>
      </c>
      <c r="R33" s="36"/>
      <c r="T33" s="69"/>
      <c r="U33" s="15" t="s">
        <v>6</v>
      </c>
      <c r="V33" s="14">
        <v>0</v>
      </c>
      <c r="W33" s="12">
        <v>210</v>
      </c>
      <c r="X33" s="10">
        <v>150</v>
      </c>
      <c r="Y33" s="13">
        <f t="shared" si="2"/>
        <v>218.98915498261553</v>
      </c>
      <c r="Z33" s="11">
        <f t="shared" si="3"/>
        <v>233.35862958116633</v>
      </c>
      <c r="AA33" s="13">
        <f t="shared" si="4"/>
        <v>218.98915498261553</v>
      </c>
    </row>
    <row r="34" spans="1:32" s="25" customFormat="1" outlineLevel="1" x14ac:dyDescent="0.4">
      <c r="A34" s="89" t="s">
        <v>35</v>
      </c>
      <c r="B34" s="90"/>
      <c r="C34" s="46">
        <f t="shared" ref="C34:K34" si="5">AVERAGE(C4:C33)</f>
        <v>-77.266666666666666</v>
      </c>
      <c r="D34" s="46">
        <f t="shared" si="5"/>
        <v>23.60084536311728</v>
      </c>
      <c r="E34" s="46"/>
      <c r="F34" s="46">
        <f t="shared" si="5"/>
        <v>3.3699999999999997</v>
      </c>
      <c r="G34" s="46"/>
      <c r="H34" s="46">
        <f t="shared" si="5"/>
        <v>-72.849999999999994</v>
      </c>
      <c r="I34" s="46">
        <f t="shared" si="5"/>
        <v>18.755371031500811</v>
      </c>
      <c r="J34" s="37"/>
      <c r="K34" s="37">
        <f t="shared" si="5"/>
        <v>2.5866666666666673</v>
      </c>
      <c r="L34" s="37"/>
      <c r="M34" s="37"/>
      <c r="N34" s="37"/>
      <c r="O34" s="37"/>
      <c r="P34" s="37">
        <f>AVERAGE(P4:P33)</f>
        <v>-71.933333333333337</v>
      </c>
      <c r="Q34" s="37">
        <f>AVERAGE(Q4:Q33)</f>
        <v>-69.466666666666669</v>
      </c>
      <c r="R34" s="38"/>
    </row>
    <row r="35" spans="1:32" ht="15.75" x14ac:dyDescent="0.4">
      <c r="A35" s="55" t="s">
        <v>30</v>
      </c>
      <c r="B35" s="55"/>
      <c r="C35" s="55"/>
      <c r="D35" s="55"/>
      <c r="E35" s="55"/>
      <c r="F35" s="55"/>
      <c r="G35" s="55"/>
      <c r="H35" s="55"/>
      <c r="I35" s="48"/>
      <c r="J35" s="24"/>
      <c r="K35" s="24"/>
      <c r="L35" s="24"/>
      <c r="M35" s="24"/>
      <c r="N35" s="24"/>
      <c r="O35" s="24"/>
      <c r="P35" s="24"/>
      <c r="Q35" s="24"/>
      <c r="R35" s="24"/>
    </row>
    <row r="36" spans="1:32" ht="14.65" customHeight="1" outlineLevel="1" x14ac:dyDescent="0.4">
      <c r="A36" s="58"/>
      <c r="B36" s="59"/>
      <c r="C36" s="59" t="s">
        <v>1</v>
      </c>
      <c r="D36" s="59"/>
      <c r="E36" s="59"/>
      <c r="F36" s="59"/>
      <c r="G36" s="59"/>
      <c r="H36" s="59" t="s">
        <v>2</v>
      </c>
      <c r="I36" s="59"/>
      <c r="J36" s="59"/>
      <c r="K36" s="59"/>
      <c r="L36" s="59" t="s">
        <v>3</v>
      </c>
      <c r="M36" s="59"/>
      <c r="N36" s="59"/>
      <c r="O36" s="59"/>
      <c r="P36" s="59" t="s">
        <v>4</v>
      </c>
      <c r="Q36" s="59"/>
      <c r="R36" s="62"/>
    </row>
    <row r="37" spans="1:32" ht="15.75" outlineLevel="1" x14ac:dyDescent="0.4">
      <c r="A37" s="60"/>
      <c r="B37" s="61"/>
      <c r="C37" s="43" t="s">
        <v>0</v>
      </c>
      <c r="D37" s="43" t="s">
        <v>36</v>
      </c>
      <c r="E37" s="43" t="s">
        <v>7</v>
      </c>
      <c r="F37" s="43" t="s">
        <v>8</v>
      </c>
      <c r="G37" s="43" t="s">
        <v>10</v>
      </c>
      <c r="H37" s="43" t="s">
        <v>0</v>
      </c>
      <c r="I37" s="43" t="s">
        <v>36</v>
      </c>
      <c r="J37" s="43" t="s">
        <v>7</v>
      </c>
      <c r="K37" s="43" t="s">
        <v>8</v>
      </c>
      <c r="L37" s="43" t="s">
        <v>0</v>
      </c>
      <c r="M37" s="43" t="s">
        <v>36</v>
      </c>
      <c r="N37" s="43" t="s">
        <v>7</v>
      </c>
      <c r="O37" s="43" t="s">
        <v>8</v>
      </c>
      <c r="P37" s="44" t="s">
        <v>14</v>
      </c>
      <c r="Q37" s="43" t="s">
        <v>15</v>
      </c>
      <c r="R37" s="45" t="s">
        <v>16</v>
      </c>
      <c r="T37" s="22"/>
      <c r="U37" s="22"/>
      <c r="V37" s="22" t="s">
        <v>20</v>
      </c>
      <c r="W37" s="22" t="s">
        <v>21</v>
      </c>
      <c r="X37" s="22" t="s">
        <v>9</v>
      </c>
      <c r="Y37" s="23" t="s">
        <v>24</v>
      </c>
      <c r="Z37" s="23" t="s">
        <v>25</v>
      </c>
      <c r="AA37" s="23" t="s">
        <v>26</v>
      </c>
      <c r="AC37" s="7"/>
      <c r="AD37" s="7" t="s">
        <v>11</v>
      </c>
      <c r="AE37" s="7" t="s">
        <v>12</v>
      </c>
      <c r="AF37" s="7" t="s">
        <v>13</v>
      </c>
    </row>
    <row r="38" spans="1:32" ht="15.75" outlineLevel="1" x14ac:dyDescent="0.4">
      <c r="A38" s="56">
        <v>0</v>
      </c>
      <c r="B38" s="39" t="s">
        <v>5</v>
      </c>
      <c r="C38" s="40">
        <v>-70</v>
      </c>
      <c r="D38" s="49">
        <f>E38-Y38</f>
        <v>4.7012718729543721</v>
      </c>
      <c r="E38" s="40">
        <v>67.599999999999994</v>
      </c>
      <c r="F38" s="40">
        <v>1.3</v>
      </c>
      <c r="G38" s="40"/>
      <c r="H38" s="40"/>
      <c r="I38" s="40"/>
      <c r="J38" s="40"/>
      <c r="K38" s="40"/>
      <c r="L38" s="40">
        <v>-73</v>
      </c>
      <c r="M38" s="49">
        <f>N38-AA38</f>
        <v>31.101271872954378</v>
      </c>
      <c r="N38" s="40">
        <v>94</v>
      </c>
      <c r="O38" s="40">
        <v>1.4</v>
      </c>
      <c r="P38" s="41">
        <v>-69</v>
      </c>
      <c r="Q38" s="40"/>
      <c r="R38" s="42">
        <v>-72</v>
      </c>
      <c r="T38" s="68">
        <v>0</v>
      </c>
      <c r="U38" s="16" t="s">
        <v>5</v>
      </c>
      <c r="V38" s="17">
        <v>0</v>
      </c>
      <c r="W38" s="18">
        <v>-40</v>
      </c>
      <c r="X38" s="19">
        <v>80</v>
      </c>
      <c r="Y38" s="20">
        <f t="shared" ref="Y38:Y67" si="6">SQRT(POWER($AD$38-V38,2)+POWER($AD$39-W38,2)+POWER($AD$40-X38,2))</f>
        <v>62.898728127045622</v>
      </c>
      <c r="Z38" s="21">
        <f>SQRT(POWER($AE$38-V38,2)+POWER($AE$39-W38,2)+POWER($AE$40-X38,2))</f>
        <v>89.442719099991592</v>
      </c>
      <c r="AA38" s="20">
        <f t="shared" ref="AA38:AA67" si="7">SQRT(POWER($AF$38-V38,2)+POWER($AF$39-W38,2)+POWER($AF$40-X38,2))</f>
        <v>62.898728127045622</v>
      </c>
      <c r="AC38" s="5" t="s">
        <v>17</v>
      </c>
      <c r="AD38" s="8">
        <v>47.5</v>
      </c>
      <c r="AE38" s="6">
        <v>0</v>
      </c>
      <c r="AF38" s="8">
        <v>-47.5</v>
      </c>
    </row>
    <row r="39" spans="1:32" ht="15.75" outlineLevel="1" x14ac:dyDescent="0.4">
      <c r="A39" s="53"/>
      <c r="B39" s="32" t="s">
        <v>6</v>
      </c>
      <c r="C39" s="29">
        <v>-66</v>
      </c>
      <c r="D39" s="50">
        <f t="shared" ref="D39:D67" si="8">E39-Y39</f>
        <v>3.350419804147279</v>
      </c>
      <c r="E39" s="29">
        <v>89.7</v>
      </c>
      <c r="F39" s="29">
        <v>1.6</v>
      </c>
      <c r="G39" s="29"/>
      <c r="H39" s="29"/>
      <c r="I39" s="29"/>
      <c r="J39" s="29"/>
      <c r="K39" s="29"/>
      <c r="L39" s="29">
        <v>-66</v>
      </c>
      <c r="M39" s="50">
        <f t="shared" ref="M39:M67" si="9">N39-AA39</f>
        <v>22.650419804147276</v>
      </c>
      <c r="N39" s="29">
        <v>109</v>
      </c>
      <c r="O39" s="29">
        <v>1.3</v>
      </c>
      <c r="P39" s="30">
        <v>-63</v>
      </c>
      <c r="Q39" s="29"/>
      <c r="R39" s="31">
        <v>-58</v>
      </c>
      <c r="T39" s="69"/>
      <c r="U39" s="15" t="s">
        <v>6</v>
      </c>
      <c r="V39" s="14">
        <v>0</v>
      </c>
      <c r="W39" s="12">
        <v>-40</v>
      </c>
      <c r="X39" s="10">
        <v>150</v>
      </c>
      <c r="Y39" s="20">
        <f t="shared" si="6"/>
        <v>86.349580195852724</v>
      </c>
      <c r="Z39" s="21">
        <f t="shared" ref="Z39:Z67" si="10">SQRT(POWER($AE$38-V39,2)+POWER($AE$39-W39,2)+POWER($AE$40-X39,2))</f>
        <v>155.24174696260025</v>
      </c>
      <c r="AA39" s="20">
        <f t="shared" si="7"/>
        <v>86.349580195852724</v>
      </c>
      <c r="AC39" s="3" t="s">
        <v>18</v>
      </c>
      <c r="AD39" s="1">
        <v>0</v>
      </c>
      <c r="AE39" s="1">
        <v>0</v>
      </c>
      <c r="AF39" s="1">
        <v>0</v>
      </c>
    </row>
    <row r="40" spans="1:32" ht="15.75" outlineLevel="1" x14ac:dyDescent="0.4">
      <c r="A40" s="53">
        <v>1</v>
      </c>
      <c r="B40" s="32" t="s">
        <v>5</v>
      </c>
      <c r="C40" s="26">
        <v>-74</v>
      </c>
      <c r="D40" s="51">
        <f t="shared" si="8"/>
        <v>19.458780402631</v>
      </c>
      <c r="E40" s="26">
        <v>68</v>
      </c>
      <c r="F40" s="26">
        <v>1.2</v>
      </c>
      <c r="G40" s="26"/>
      <c r="H40" s="26"/>
      <c r="I40" s="26"/>
      <c r="J40" s="26"/>
      <c r="K40" s="26"/>
      <c r="L40" s="26">
        <v>-74</v>
      </c>
      <c r="M40" s="51">
        <f t="shared" si="9"/>
        <v>11.858780402630998</v>
      </c>
      <c r="N40" s="26">
        <v>60.4</v>
      </c>
      <c r="O40" s="26">
        <v>1.8</v>
      </c>
      <c r="P40" s="27">
        <v>-69</v>
      </c>
      <c r="Q40" s="26"/>
      <c r="R40" s="28">
        <v>-70</v>
      </c>
      <c r="T40" s="68">
        <v>1</v>
      </c>
      <c r="U40" s="15" t="s">
        <v>5</v>
      </c>
      <c r="V40" s="14">
        <v>0</v>
      </c>
      <c r="W40" s="12">
        <v>0</v>
      </c>
      <c r="X40" s="10">
        <v>80</v>
      </c>
      <c r="Y40" s="20">
        <f t="shared" si="6"/>
        <v>48.541219597369</v>
      </c>
      <c r="Z40" s="21">
        <f t="shared" si="10"/>
        <v>80</v>
      </c>
      <c r="AA40" s="20">
        <f t="shared" si="7"/>
        <v>48.541219597369</v>
      </c>
      <c r="AC40" s="4" t="s">
        <v>19</v>
      </c>
      <c r="AD40" s="2">
        <v>90</v>
      </c>
      <c r="AE40" s="2">
        <v>0</v>
      </c>
      <c r="AF40" s="2">
        <v>90</v>
      </c>
    </row>
    <row r="41" spans="1:32" ht="15.75" outlineLevel="1" x14ac:dyDescent="0.4">
      <c r="A41" s="53"/>
      <c r="B41" s="32" t="s">
        <v>6</v>
      </c>
      <c r="C41" s="29">
        <v>-62</v>
      </c>
      <c r="D41" s="50">
        <f t="shared" si="8"/>
        <v>7.4738606749301653</v>
      </c>
      <c r="E41" s="29">
        <v>84</v>
      </c>
      <c r="F41" s="29">
        <v>1.5</v>
      </c>
      <c r="G41" s="29"/>
      <c r="H41" s="29"/>
      <c r="I41" s="29"/>
      <c r="J41" s="29"/>
      <c r="K41" s="29"/>
      <c r="L41" s="29">
        <v>-68</v>
      </c>
      <c r="M41" s="50">
        <f t="shared" si="9"/>
        <v>24.873860674930171</v>
      </c>
      <c r="N41" s="29">
        <v>101.4</v>
      </c>
      <c r="O41" s="29">
        <v>1.1000000000000001</v>
      </c>
      <c r="P41" s="30">
        <v>-60</v>
      </c>
      <c r="Q41" s="29"/>
      <c r="R41" s="31">
        <v>-72</v>
      </c>
      <c r="T41" s="69"/>
      <c r="U41" s="15" t="s">
        <v>6</v>
      </c>
      <c r="V41" s="14">
        <v>0</v>
      </c>
      <c r="W41" s="12">
        <v>0</v>
      </c>
      <c r="X41" s="10">
        <v>150</v>
      </c>
      <c r="Y41" s="20">
        <f t="shared" si="6"/>
        <v>76.526139325069835</v>
      </c>
      <c r="Z41" s="21">
        <f t="shared" si="10"/>
        <v>150</v>
      </c>
      <c r="AA41" s="20">
        <f t="shared" si="7"/>
        <v>76.526139325069835</v>
      </c>
    </row>
    <row r="42" spans="1:32" ht="15.75" outlineLevel="1" x14ac:dyDescent="0.4">
      <c r="A42" s="53">
        <v>2</v>
      </c>
      <c r="B42" s="32" t="s">
        <v>5</v>
      </c>
      <c r="C42" s="26">
        <v>-62</v>
      </c>
      <c r="D42" s="51">
        <f t="shared" si="8"/>
        <v>23.45786437626905</v>
      </c>
      <c r="E42" s="26">
        <v>37.6</v>
      </c>
      <c r="F42" s="26">
        <v>3</v>
      </c>
      <c r="G42" s="26"/>
      <c r="H42" s="26"/>
      <c r="I42" s="26"/>
      <c r="J42" s="26"/>
      <c r="K42" s="26"/>
      <c r="L42" s="26">
        <v>-73</v>
      </c>
      <c r="M42" s="51">
        <f t="shared" si="9"/>
        <v>31.953136438507272</v>
      </c>
      <c r="N42" s="26">
        <v>128</v>
      </c>
      <c r="O42" s="26">
        <v>2.2999999999999998</v>
      </c>
      <c r="P42" s="27">
        <v>-60</v>
      </c>
      <c r="Q42" s="26"/>
      <c r="R42" s="28">
        <v>-68</v>
      </c>
      <c r="T42" s="68">
        <v>2</v>
      </c>
      <c r="U42" s="15" t="s">
        <v>5</v>
      </c>
      <c r="V42" s="14">
        <f>$AD$38</f>
        <v>47.5</v>
      </c>
      <c r="W42" s="12">
        <v>10</v>
      </c>
      <c r="X42" s="10">
        <v>80</v>
      </c>
      <c r="Y42" s="20">
        <f t="shared" si="6"/>
        <v>14.142135623730951</v>
      </c>
      <c r="Z42" s="21">
        <f t="shared" si="10"/>
        <v>93.574836361064513</v>
      </c>
      <c r="AA42" s="20">
        <f t="shared" si="7"/>
        <v>96.046863561492728</v>
      </c>
    </row>
    <row r="43" spans="1:32" ht="15.75" outlineLevel="1" x14ac:dyDescent="0.4">
      <c r="A43" s="53"/>
      <c r="B43" s="32" t="s">
        <v>6</v>
      </c>
      <c r="C43" s="29">
        <v>-52</v>
      </c>
      <c r="D43" s="50">
        <f t="shared" si="8"/>
        <v>11.572374697017807</v>
      </c>
      <c r="E43" s="29">
        <v>72.400000000000006</v>
      </c>
      <c r="F43" s="29">
        <v>1.3</v>
      </c>
      <c r="G43" s="29"/>
      <c r="H43" s="29"/>
      <c r="I43" s="29"/>
      <c r="J43" s="29"/>
      <c r="K43" s="29"/>
      <c r="L43" s="29">
        <v>-72</v>
      </c>
      <c r="M43" s="50">
        <f t="shared" si="9"/>
        <v>39.394858273215206</v>
      </c>
      <c r="N43" s="29">
        <v>152.19999999999999</v>
      </c>
      <c r="O43" s="29">
        <v>3.4</v>
      </c>
      <c r="P43" s="30">
        <v>-53</v>
      </c>
      <c r="Q43" s="29"/>
      <c r="R43" s="31">
        <v>-73</v>
      </c>
      <c r="T43" s="69"/>
      <c r="U43" s="15" t="s">
        <v>6</v>
      </c>
      <c r="V43" s="14">
        <f>$AD$38</f>
        <v>47.5</v>
      </c>
      <c r="W43" s="12">
        <v>10</v>
      </c>
      <c r="X43" s="10">
        <v>150</v>
      </c>
      <c r="Y43" s="20">
        <f t="shared" si="6"/>
        <v>60.827625302982199</v>
      </c>
      <c r="Z43" s="21">
        <f t="shared" si="10"/>
        <v>157.65865025427561</v>
      </c>
      <c r="AA43" s="20">
        <f t="shared" si="7"/>
        <v>112.80514172678478</v>
      </c>
    </row>
    <row r="44" spans="1:32" ht="15.75" outlineLevel="1" x14ac:dyDescent="0.4">
      <c r="A44" s="53">
        <v>3</v>
      </c>
      <c r="B44" s="32" t="s">
        <v>5</v>
      </c>
      <c r="C44" s="26">
        <v>-67</v>
      </c>
      <c r="D44" s="51">
        <f t="shared" si="8"/>
        <v>29.939430996002478</v>
      </c>
      <c r="E44" s="26">
        <v>79.5</v>
      </c>
      <c r="F44" s="26">
        <v>1.5</v>
      </c>
      <c r="G44" s="26"/>
      <c r="H44" s="26"/>
      <c r="I44" s="26"/>
      <c r="J44" s="26"/>
      <c r="K44" s="26"/>
      <c r="L44" s="26">
        <v>-72</v>
      </c>
      <c r="M44" s="51">
        <f t="shared" si="9"/>
        <v>23.739430996002476</v>
      </c>
      <c r="N44" s="26">
        <v>73.3</v>
      </c>
      <c r="O44" s="26">
        <v>1.3</v>
      </c>
      <c r="P44" s="27">
        <v>-69</v>
      </c>
      <c r="Q44" s="26"/>
      <c r="R44" s="28">
        <v>-72</v>
      </c>
      <c r="T44" s="68">
        <v>3</v>
      </c>
      <c r="U44" s="15" t="s">
        <v>5</v>
      </c>
      <c r="V44" s="14">
        <v>0</v>
      </c>
      <c r="W44" s="12">
        <v>10</v>
      </c>
      <c r="X44" s="10">
        <v>80</v>
      </c>
      <c r="Y44" s="20">
        <f t="shared" si="6"/>
        <v>49.560569003997522</v>
      </c>
      <c r="Z44" s="21">
        <f t="shared" si="10"/>
        <v>80.622577482985491</v>
      </c>
      <c r="AA44" s="20">
        <f t="shared" si="7"/>
        <v>49.560569003997522</v>
      </c>
      <c r="AC44" s="70" t="s">
        <v>33</v>
      </c>
      <c r="AD44" s="71"/>
      <c r="AE44" s="71"/>
      <c r="AF44" s="72"/>
    </row>
    <row r="45" spans="1:32" ht="15.75" outlineLevel="1" x14ac:dyDescent="0.4">
      <c r="A45" s="53"/>
      <c r="B45" s="32" t="s">
        <v>6</v>
      </c>
      <c r="C45" s="29">
        <v>-68</v>
      </c>
      <c r="D45" s="50">
        <f t="shared" si="8"/>
        <v>2.3254797834340479E-2</v>
      </c>
      <c r="E45" s="29">
        <v>77.2</v>
      </c>
      <c r="F45" s="29">
        <v>1.8</v>
      </c>
      <c r="G45" s="29">
        <v>80</v>
      </c>
      <c r="H45" s="29"/>
      <c r="I45" s="29"/>
      <c r="J45" s="29"/>
      <c r="K45" s="29"/>
      <c r="L45" s="29">
        <v>-67</v>
      </c>
      <c r="M45" s="50">
        <f t="shared" si="9"/>
        <v>24.423254797834332</v>
      </c>
      <c r="N45" s="29">
        <v>101.6</v>
      </c>
      <c r="O45" s="29">
        <v>1.5</v>
      </c>
      <c r="P45" s="30">
        <v>-65</v>
      </c>
      <c r="Q45" s="29"/>
      <c r="R45" s="31">
        <v>-73</v>
      </c>
      <c r="T45" s="69"/>
      <c r="U45" s="15" t="s">
        <v>6</v>
      </c>
      <c r="V45" s="14">
        <v>0</v>
      </c>
      <c r="W45" s="12">
        <v>10</v>
      </c>
      <c r="X45" s="10">
        <v>150</v>
      </c>
      <c r="Y45" s="20">
        <f t="shared" si="6"/>
        <v>77.176745202165662</v>
      </c>
      <c r="Z45" s="21">
        <f t="shared" si="10"/>
        <v>150.33296378372907</v>
      </c>
      <c r="AA45" s="20">
        <f t="shared" si="7"/>
        <v>77.176745202165662</v>
      </c>
      <c r="AC45" s="73"/>
      <c r="AD45" s="74"/>
      <c r="AE45" s="74"/>
      <c r="AF45" s="75"/>
    </row>
    <row r="46" spans="1:32" ht="15.75" outlineLevel="1" x14ac:dyDescent="0.4">
      <c r="A46" s="53">
        <v>4</v>
      </c>
      <c r="B46" s="32" t="s">
        <v>5</v>
      </c>
      <c r="C46" s="26">
        <v>-75</v>
      </c>
      <c r="D46" s="51">
        <f t="shared" si="8"/>
        <v>19.153136438507275</v>
      </c>
      <c r="E46" s="26">
        <v>115.2</v>
      </c>
      <c r="F46" s="26">
        <v>1.7</v>
      </c>
      <c r="G46" s="26"/>
      <c r="H46" s="26"/>
      <c r="I46" s="26"/>
      <c r="J46" s="26"/>
      <c r="K46" s="26"/>
      <c r="L46" s="26">
        <v>-65</v>
      </c>
      <c r="M46" s="51">
        <f t="shared" si="9"/>
        <v>14.757864376269048</v>
      </c>
      <c r="N46" s="26">
        <v>28.9</v>
      </c>
      <c r="O46" s="26">
        <v>1.2</v>
      </c>
      <c r="P46" s="27">
        <v>-72</v>
      </c>
      <c r="Q46" s="26"/>
      <c r="R46" s="28">
        <v>-66</v>
      </c>
      <c r="T46" s="68">
        <v>4</v>
      </c>
      <c r="U46" s="15" t="s">
        <v>5</v>
      </c>
      <c r="V46" s="14">
        <f>$AF$38</f>
        <v>-47.5</v>
      </c>
      <c r="W46" s="12">
        <v>10</v>
      </c>
      <c r="X46" s="10">
        <v>80</v>
      </c>
      <c r="Y46" s="20">
        <f t="shared" si="6"/>
        <v>96.046863561492728</v>
      </c>
      <c r="Z46" s="21">
        <f t="shared" si="10"/>
        <v>93.574836361064513</v>
      </c>
      <c r="AA46" s="20">
        <f t="shared" si="7"/>
        <v>14.142135623730951</v>
      </c>
      <c r="AC46" s="73"/>
      <c r="AD46" s="74"/>
      <c r="AE46" s="74"/>
      <c r="AF46" s="75"/>
    </row>
    <row r="47" spans="1:32" ht="15.75" outlineLevel="1" x14ac:dyDescent="0.4">
      <c r="A47" s="53"/>
      <c r="B47" s="32" t="s">
        <v>6</v>
      </c>
      <c r="C47" s="29">
        <v>-71</v>
      </c>
      <c r="D47" s="50">
        <f t="shared" si="8"/>
        <v>6.1948582732152175</v>
      </c>
      <c r="E47" s="29">
        <v>119</v>
      </c>
      <c r="F47" s="29">
        <v>2</v>
      </c>
      <c r="G47" s="29"/>
      <c r="H47" s="29"/>
      <c r="I47" s="29"/>
      <c r="J47" s="29"/>
      <c r="K47" s="29"/>
      <c r="L47" s="29">
        <v>-59</v>
      </c>
      <c r="M47" s="50">
        <f t="shared" si="9"/>
        <v>6.1723746970178013</v>
      </c>
      <c r="N47" s="29">
        <v>67</v>
      </c>
      <c r="O47" s="29">
        <v>1</v>
      </c>
      <c r="P47" s="30">
        <v>-71</v>
      </c>
      <c r="Q47" s="29"/>
      <c r="R47" s="31">
        <v>-58</v>
      </c>
      <c r="T47" s="69"/>
      <c r="U47" s="15" t="s">
        <v>6</v>
      </c>
      <c r="V47" s="14">
        <f>$AF$38</f>
        <v>-47.5</v>
      </c>
      <c r="W47" s="12">
        <v>10</v>
      </c>
      <c r="X47" s="10">
        <v>150</v>
      </c>
      <c r="Y47" s="20">
        <f t="shared" si="6"/>
        <v>112.80514172678478</v>
      </c>
      <c r="Z47" s="21">
        <f t="shared" si="10"/>
        <v>157.65865025427561</v>
      </c>
      <c r="AA47" s="20">
        <f t="shared" si="7"/>
        <v>60.827625302982199</v>
      </c>
      <c r="AC47" s="73"/>
      <c r="AD47" s="74"/>
      <c r="AE47" s="74"/>
      <c r="AF47" s="75"/>
    </row>
    <row r="48" spans="1:32" ht="15.75" outlineLevel="1" x14ac:dyDescent="0.4">
      <c r="A48" s="53">
        <v>5</v>
      </c>
      <c r="B48" s="32" t="s">
        <v>5</v>
      </c>
      <c r="C48" s="26">
        <v>-73</v>
      </c>
      <c r="D48" s="51">
        <f t="shared" si="8"/>
        <v>17.772374697017796</v>
      </c>
      <c r="E48" s="26">
        <v>78.599999999999994</v>
      </c>
      <c r="F48" s="26">
        <v>4.9000000000000004</v>
      </c>
      <c r="G48" s="26"/>
      <c r="H48" s="26"/>
      <c r="I48" s="26"/>
      <c r="J48" s="26"/>
      <c r="K48" s="26"/>
      <c r="L48" s="26">
        <v>-74</v>
      </c>
      <c r="M48" s="51">
        <f t="shared" si="9"/>
        <v>36.894858273215206</v>
      </c>
      <c r="N48" s="26">
        <v>149.69999999999999</v>
      </c>
      <c r="O48" s="26">
        <v>1.5</v>
      </c>
      <c r="P48" s="27">
        <v>-73</v>
      </c>
      <c r="Q48" s="26"/>
      <c r="R48" s="28">
        <v>-74</v>
      </c>
      <c r="T48" s="68">
        <v>5</v>
      </c>
      <c r="U48" s="15" t="s">
        <v>5</v>
      </c>
      <c r="V48" s="14">
        <f>$AD$38</f>
        <v>47.5</v>
      </c>
      <c r="W48" s="12">
        <v>60</v>
      </c>
      <c r="X48" s="10">
        <v>80</v>
      </c>
      <c r="Y48" s="20">
        <f t="shared" si="6"/>
        <v>60.827625302982199</v>
      </c>
      <c r="Z48" s="21">
        <f t="shared" si="10"/>
        <v>110.70794912742264</v>
      </c>
      <c r="AA48" s="20">
        <f t="shared" si="7"/>
        <v>112.80514172678478</v>
      </c>
      <c r="AC48" s="73"/>
      <c r="AD48" s="74"/>
      <c r="AE48" s="74"/>
      <c r="AF48" s="75"/>
    </row>
    <row r="49" spans="1:32" ht="15.75" outlineLevel="1" x14ac:dyDescent="0.4">
      <c r="A49" s="53"/>
      <c r="B49" s="32" t="s">
        <v>6</v>
      </c>
      <c r="C49" s="29">
        <v>-64</v>
      </c>
      <c r="D49" s="50">
        <f t="shared" si="8"/>
        <v>14.647186257614294</v>
      </c>
      <c r="E49" s="29">
        <v>99.5</v>
      </c>
      <c r="F49" s="29">
        <v>1.5</v>
      </c>
      <c r="G49" s="29">
        <v>80</v>
      </c>
      <c r="H49" s="29"/>
      <c r="I49" s="29"/>
      <c r="J49" s="29"/>
      <c r="K49" s="29"/>
      <c r="L49" s="29">
        <v>-73</v>
      </c>
      <c r="M49" s="50">
        <f t="shared" si="9"/>
        <v>38.92260797143004</v>
      </c>
      <c r="N49" s="29">
        <v>166.3</v>
      </c>
      <c r="O49" s="29">
        <v>1.6</v>
      </c>
      <c r="P49" s="30">
        <v>-67</v>
      </c>
      <c r="Q49" s="29"/>
      <c r="R49" s="31">
        <v>-73</v>
      </c>
      <c r="T49" s="69"/>
      <c r="U49" s="15" t="s">
        <v>6</v>
      </c>
      <c r="V49" s="14">
        <f>$AD$38</f>
        <v>47.5</v>
      </c>
      <c r="W49" s="12">
        <v>60</v>
      </c>
      <c r="X49" s="10">
        <v>150</v>
      </c>
      <c r="Y49" s="20">
        <f t="shared" si="6"/>
        <v>84.852813742385706</v>
      </c>
      <c r="Z49" s="21">
        <f t="shared" si="10"/>
        <v>168.3931411904891</v>
      </c>
      <c r="AA49" s="20">
        <f t="shared" si="7"/>
        <v>127.37739202856997</v>
      </c>
      <c r="AC49" s="76"/>
      <c r="AD49" s="77"/>
      <c r="AE49" s="77"/>
      <c r="AF49" s="78"/>
    </row>
    <row r="50" spans="1:32" ht="15.75" outlineLevel="1" x14ac:dyDescent="0.4">
      <c r="A50" s="53">
        <v>6</v>
      </c>
      <c r="B50" s="32" t="s">
        <v>5</v>
      </c>
      <c r="C50" s="26">
        <v>-74</v>
      </c>
      <c r="D50" s="51">
        <f t="shared" si="8"/>
        <v>25.623254797834335</v>
      </c>
      <c r="E50" s="26">
        <v>102.8</v>
      </c>
      <c r="F50" s="26">
        <v>2.9</v>
      </c>
      <c r="G50" s="26"/>
      <c r="H50" s="26"/>
      <c r="I50" s="26"/>
      <c r="J50" s="26"/>
      <c r="K50" s="26"/>
      <c r="L50" s="26">
        <v>-75</v>
      </c>
      <c r="M50" s="51">
        <f t="shared" si="9"/>
        <v>16.923254797834332</v>
      </c>
      <c r="N50" s="26">
        <v>94.1</v>
      </c>
      <c r="O50" s="26">
        <v>3.5</v>
      </c>
      <c r="P50" s="27">
        <v>-73</v>
      </c>
      <c r="Q50" s="26"/>
      <c r="R50" s="28">
        <v>-74</v>
      </c>
      <c r="T50" s="68">
        <v>6</v>
      </c>
      <c r="U50" s="15" t="s">
        <v>5</v>
      </c>
      <c r="V50" s="14">
        <v>0</v>
      </c>
      <c r="W50" s="12">
        <v>60</v>
      </c>
      <c r="X50" s="10">
        <v>80</v>
      </c>
      <c r="Y50" s="20">
        <f t="shared" si="6"/>
        <v>77.176745202165662</v>
      </c>
      <c r="Z50" s="21">
        <f t="shared" si="10"/>
        <v>100</v>
      </c>
      <c r="AA50" s="20">
        <f t="shared" si="7"/>
        <v>77.176745202165662</v>
      </c>
    </row>
    <row r="51" spans="1:32" ht="15.75" outlineLevel="1" x14ac:dyDescent="0.4">
      <c r="A51" s="53"/>
      <c r="B51" s="32" t="s">
        <v>6</v>
      </c>
      <c r="C51" s="29">
        <v>-71</v>
      </c>
      <c r="D51" s="50">
        <f t="shared" si="8"/>
        <v>1.7567483061163784</v>
      </c>
      <c r="E51" s="29">
        <v>99</v>
      </c>
      <c r="F51" s="29">
        <v>2.9</v>
      </c>
      <c r="G51" s="29">
        <v>80</v>
      </c>
      <c r="H51" s="29"/>
      <c r="I51" s="29"/>
      <c r="J51" s="29"/>
      <c r="K51" s="29"/>
      <c r="L51" s="29">
        <v>-74</v>
      </c>
      <c r="M51" s="50">
        <f t="shared" si="9"/>
        <v>8.7567483061163784</v>
      </c>
      <c r="N51" s="29">
        <v>106</v>
      </c>
      <c r="O51" s="29">
        <v>4.2</v>
      </c>
      <c r="P51" s="30">
        <v>-70</v>
      </c>
      <c r="Q51" s="29"/>
      <c r="R51" s="31">
        <v>-73</v>
      </c>
      <c r="T51" s="69"/>
      <c r="U51" s="15" t="s">
        <v>6</v>
      </c>
      <c r="V51" s="14">
        <v>0</v>
      </c>
      <c r="W51" s="12">
        <v>60</v>
      </c>
      <c r="X51" s="10">
        <v>150</v>
      </c>
      <c r="Y51" s="20">
        <f t="shared" si="6"/>
        <v>97.243251693883622</v>
      </c>
      <c r="Z51" s="21">
        <f t="shared" si="10"/>
        <v>161.55494421403512</v>
      </c>
      <c r="AA51" s="20">
        <f t="shared" si="7"/>
        <v>97.243251693883622</v>
      </c>
    </row>
    <row r="52" spans="1:32" ht="15.75" outlineLevel="1" x14ac:dyDescent="0.4">
      <c r="A52" s="53">
        <v>7</v>
      </c>
      <c r="B52" s="32" t="s">
        <v>5</v>
      </c>
      <c r="C52" s="26">
        <v>-76</v>
      </c>
      <c r="D52" s="51">
        <f t="shared" si="8"/>
        <v>28.494858273215229</v>
      </c>
      <c r="E52" s="26">
        <v>141.30000000000001</v>
      </c>
      <c r="F52" s="26">
        <v>1.8</v>
      </c>
      <c r="G52" s="26"/>
      <c r="H52" s="26"/>
      <c r="I52" s="26"/>
      <c r="J52" s="26"/>
      <c r="K52" s="26"/>
      <c r="L52" s="26">
        <v>-69</v>
      </c>
      <c r="M52" s="51">
        <f t="shared" si="9"/>
        <v>22.172374697017801</v>
      </c>
      <c r="N52" s="26">
        <v>83</v>
      </c>
      <c r="O52" s="26">
        <v>1.5</v>
      </c>
      <c r="P52" s="27">
        <v>-70</v>
      </c>
      <c r="Q52" s="26"/>
      <c r="R52" s="28">
        <v>-60</v>
      </c>
      <c r="T52" s="68">
        <v>7</v>
      </c>
      <c r="U52" s="15" t="s">
        <v>5</v>
      </c>
      <c r="V52" s="14">
        <f>$AF$38</f>
        <v>-47.5</v>
      </c>
      <c r="W52" s="12">
        <v>60</v>
      </c>
      <c r="X52" s="10">
        <v>80</v>
      </c>
      <c r="Y52" s="20">
        <f t="shared" si="6"/>
        <v>112.80514172678478</v>
      </c>
      <c r="Z52" s="21">
        <f t="shared" si="10"/>
        <v>110.70794912742264</v>
      </c>
      <c r="AA52" s="20">
        <f t="shared" si="7"/>
        <v>60.827625302982199</v>
      </c>
    </row>
    <row r="53" spans="1:32" ht="15.75" outlineLevel="1" x14ac:dyDescent="0.4">
      <c r="A53" s="53"/>
      <c r="B53" s="32" t="s">
        <v>6</v>
      </c>
      <c r="C53" s="29">
        <v>-72</v>
      </c>
      <c r="D53" s="50">
        <f t="shared" si="8"/>
        <v>12.622607971430028</v>
      </c>
      <c r="E53" s="29">
        <v>140</v>
      </c>
      <c r="F53" s="29">
        <v>2.1</v>
      </c>
      <c r="G53" s="29">
        <v>80</v>
      </c>
      <c r="H53" s="29"/>
      <c r="I53" s="29"/>
      <c r="J53" s="29"/>
      <c r="K53" s="29"/>
      <c r="L53" s="29">
        <v>-74</v>
      </c>
      <c r="M53" s="50">
        <f t="shared" si="9"/>
        <v>17.147186257614294</v>
      </c>
      <c r="N53" s="29">
        <v>102</v>
      </c>
      <c r="O53" s="29">
        <v>1.4</v>
      </c>
      <c r="P53" s="30">
        <v>-71</v>
      </c>
      <c r="Q53" s="29"/>
      <c r="R53" s="31">
        <v>-72</v>
      </c>
      <c r="T53" s="69"/>
      <c r="U53" s="15" t="s">
        <v>6</v>
      </c>
      <c r="V53" s="14">
        <f>$AF$38</f>
        <v>-47.5</v>
      </c>
      <c r="W53" s="12">
        <v>60</v>
      </c>
      <c r="X53" s="10">
        <v>150</v>
      </c>
      <c r="Y53" s="20">
        <f t="shared" si="6"/>
        <v>127.37739202856997</v>
      </c>
      <c r="Z53" s="21">
        <f t="shared" si="10"/>
        <v>168.3931411904891</v>
      </c>
      <c r="AA53" s="20">
        <f t="shared" si="7"/>
        <v>84.852813742385706</v>
      </c>
    </row>
    <row r="54" spans="1:32" ht="15.75" outlineLevel="1" x14ac:dyDescent="0.4">
      <c r="A54" s="53">
        <v>8</v>
      </c>
      <c r="B54" s="32" t="s">
        <v>5</v>
      </c>
      <c r="C54" s="26">
        <v>-75</v>
      </c>
      <c r="D54" s="51">
        <f t="shared" si="8"/>
        <v>24.146389828127383</v>
      </c>
      <c r="E54" s="26">
        <v>134.6</v>
      </c>
      <c r="F54" s="26">
        <v>6</v>
      </c>
      <c r="G54" s="26"/>
      <c r="H54" s="26"/>
      <c r="I54" s="26"/>
      <c r="J54" s="26"/>
      <c r="K54" s="26"/>
      <c r="L54" s="26">
        <v>-76</v>
      </c>
      <c r="M54" s="51">
        <f t="shared" si="9"/>
        <v>33.311977156665336</v>
      </c>
      <c r="N54" s="26">
        <v>179</v>
      </c>
      <c r="O54" s="26">
        <v>3.5</v>
      </c>
      <c r="P54" s="27">
        <v>-75</v>
      </c>
      <c r="Q54" s="26"/>
      <c r="R54" s="28">
        <v>-76</v>
      </c>
      <c r="T54" s="68">
        <v>8</v>
      </c>
      <c r="U54" s="15" t="s">
        <v>5</v>
      </c>
      <c r="V54" s="14">
        <f>$AD$38</f>
        <v>47.5</v>
      </c>
      <c r="W54" s="12">
        <v>110</v>
      </c>
      <c r="X54" s="10">
        <v>80</v>
      </c>
      <c r="Y54" s="20">
        <f t="shared" si="6"/>
        <v>110.45361017187261</v>
      </c>
      <c r="Z54" s="21">
        <f t="shared" si="10"/>
        <v>144.07029534223909</v>
      </c>
      <c r="AA54" s="20">
        <f t="shared" si="7"/>
        <v>145.68802284333466</v>
      </c>
    </row>
    <row r="55" spans="1:32" ht="15.75" outlineLevel="1" x14ac:dyDescent="0.4">
      <c r="A55" s="53"/>
      <c r="B55" s="32" t="s">
        <v>6</v>
      </c>
      <c r="C55" s="29">
        <v>-69</v>
      </c>
      <c r="D55" s="50">
        <f t="shared" si="8"/>
        <v>10.400359138583312</v>
      </c>
      <c r="E55" s="29">
        <v>135.69999999999999</v>
      </c>
      <c r="F55" s="29">
        <v>1.2</v>
      </c>
      <c r="G55" s="29"/>
      <c r="H55" s="29"/>
      <c r="I55" s="29"/>
      <c r="J55" s="29"/>
      <c r="K55" s="29"/>
      <c r="L55" s="29">
        <v>-74</v>
      </c>
      <c r="M55" s="50">
        <f t="shared" si="9"/>
        <v>28.158148064836126</v>
      </c>
      <c r="N55" s="29">
        <v>185.4</v>
      </c>
      <c r="O55" s="29">
        <v>1.7</v>
      </c>
      <c r="P55" s="30">
        <v>-69</v>
      </c>
      <c r="Q55" s="29"/>
      <c r="R55" s="31">
        <v>-74</v>
      </c>
      <c r="T55" s="69"/>
      <c r="U55" s="15" t="s">
        <v>6</v>
      </c>
      <c r="V55" s="14">
        <f>$AD$38</f>
        <v>47.5</v>
      </c>
      <c r="W55" s="12">
        <v>110</v>
      </c>
      <c r="X55" s="10">
        <v>150</v>
      </c>
      <c r="Y55" s="20">
        <f t="shared" si="6"/>
        <v>125.29964086141668</v>
      </c>
      <c r="Z55" s="21">
        <f t="shared" si="10"/>
        <v>191.97981664747991</v>
      </c>
      <c r="AA55" s="20">
        <f t="shared" si="7"/>
        <v>157.24185193516388</v>
      </c>
    </row>
    <row r="56" spans="1:32" ht="15.75" outlineLevel="1" x14ac:dyDescent="0.4">
      <c r="A56" s="53">
        <v>9</v>
      </c>
      <c r="B56" s="32" t="s">
        <v>5</v>
      </c>
      <c r="C56" s="26">
        <v>-74</v>
      </c>
      <c r="D56" s="51">
        <f t="shared" si="8"/>
        <v>16.765853435889525</v>
      </c>
      <c r="E56" s="26">
        <v>137</v>
      </c>
      <c r="F56" s="26">
        <v>1.3</v>
      </c>
      <c r="G56" s="26"/>
      <c r="H56" s="26"/>
      <c r="I56" s="26"/>
      <c r="J56" s="26"/>
      <c r="K56" s="26"/>
      <c r="L56" s="26">
        <v>-74</v>
      </c>
      <c r="M56" s="51">
        <f t="shared" si="9"/>
        <v>15.765853435889525</v>
      </c>
      <c r="N56" s="26">
        <v>136</v>
      </c>
      <c r="O56" s="26">
        <v>1.2</v>
      </c>
      <c r="P56" s="27">
        <v>-74</v>
      </c>
      <c r="Q56" s="26"/>
      <c r="R56" s="28">
        <v>-74</v>
      </c>
      <c r="T56" s="68">
        <v>9</v>
      </c>
      <c r="U56" s="15" t="s">
        <v>5</v>
      </c>
      <c r="V56" s="14">
        <v>0</v>
      </c>
      <c r="W56" s="12">
        <v>110</v>
      </c>
      <c r="X56" s="10">
        <v>80</v>
      </c>
      <c r="Y56" s="20">
        <f t="shared" si="6"/>
        <v>120.23414656411047</v>
      </c>
      <c r="Z56" s="21">
        <f t="shared" si="10"/>
        <v>136.01470508735443</v>
      </c>
      <c r="AA56" s="20">
        <f t="shared" si="7"/>
        <v>120.23414656411047</v>
      </c>
    </row>
    <row r="57" spans="1:32" ht="15.75" outlineLevel="1" x14ac:dyDescent="0.4">
      <c r="A57" s="53"/>
      <c r="B57" s="32" t="s">
        <v>6</v>
      </c>
      <c r="C57" s="29">
        <v>-70</v>
      </c>
      <c r="D57" s="50">
        <f t="shared" si="8"/>
        <v>11.999067167426034</v>
      </c>
      <c r="E57" s="29">
        <v>146</v>
      </c>
      <c r="F57" s="29">
        <v>2.2000000000000002</v>
      </c>
      <c r="G57" s="29"/>
      <c r="H57" s="29"/>
      <c r="I57" s="29"/>
      <c r="J57" s="29"/>
      <c r="K57" s="29"/>
      <c r="L57" s="29">
        <v>-70</v>
      </c>
      <c r="M57" s="50">
        <f t="shared" si="9"/>
        <v>10.999067167426034</v>
      </c>
      <c r="N57" s="29">
        <v>145</v>
      </c>
      <c r="O57" s="29">
        <v>1.1000000000000001</v>
      </c>
      <c r="P57" s="30">
        <v>-70</v>
      </c>
      <c r="Q57" s="29"/>
      <c r="R57" s="31">
        <v>-74</v>
      </c>
      <c r="T57" s="69"/>
      <c r="U57" s="15" t="s">
        <v>6</v>
      </c>
      <c r="V57" s="14">
        <v>0</v>
      </c>
      <c r="W57" s="12">
        <v>110</v>
      </c>
      <c r="X57" s="10">
        <v>150</v>
      </c>
      <c r="Y57" s="20">
        <f t="shared" si="6"/>
        <v>134.00093283257397</v>
      </c>
      <c r="Z57" s="21">
        <f t="shared" si="10"/>
        <v>186.01075237738274</v>
      </c>
      <c r="AA57" s="20">
        <f t="shared" si="7"/>
        <v>134.00093283257397</v>
      </c>
    </row>
    <row r="58" spans="1:32" ht="15.75" outlineLevel="1" x14ac:dyDescent="0.4">
      <c r="A58" s="53">
        <v>10</v>
      </c>
      <c r="B58" s="32" t="s">
        <v>5</v>
      </c>
      <c r="C58" s="26">
        <v>-79</v>
      </c>
      <c r="D58" s="51">
        <f t="shared" si="8"/>
        <v>16.311977156665336</v>
      </c>
      <c r="E58" s="26">
        <v>162</v>
      </c>
      <c r="F58" s="26">
        <v>5.7</v>
      </c>
      <c r="G58" s="26"/>
      <c r="H58" s="26"/>
      <c r="I58" s="26"/>
      <c r="J58" s="26"/>
      <c r="K58" s="26"/>
      <c r="L58" s="26">
        <v>-73</v>
      </c>
      <c r="M58" s="51">
        <f t="shared" si="9"/>
        <v>19.3463898281274</v>
      </c>
      <c r="N58" s="26">
        <v>129.80000000000001</v>
      </c>
      <c r="O58" s="26">
        <v>1.4</v>
      </c>
      <c r="P58" s="27">
        <v>-77</v>
      </c>
      <c r="Q58" s="26"/>
      <c r="R58" s="28">
        <v>-71</v>
      </c>
      <c r="T58" s="68">
        <v>10</v>
      </c>
      <c r="U58" s="15" t="s">
        <v>5</v>
      </c>
      <c r="V58" s="14">
        <f>$AF$38</f>
        <v>-47.5</v>
      </c>
      <c r="W58" s="12">
        <v>110</v>
      </c>
      <c r="X58" s="10">
        <v>80</v>
      </c>
      <c r="Y58" s="20">
        <f t="shared" si="6"/>
        <v>145.68802284333466</v>
      </c>
      <c r="Z58" s="21">
        <f t="shared" si="10"/>
        <v>144.07029534223909</v>
      </c>
      <c r="AA58" s="20">
        <f t="shared" si="7"/>
        <v>110.45361017187261</v>
      </c>
    </row>
    <row r="59" spans="1:32" ht="15.75" outlineLevel="1" x14ac:dyDescent="0.4">
      <c r="A59" s="53"/>
      <c r="B59" s="32" t="s">
        <v>6</v>
      </c>
      <c r="C59" s="29">
        <v>-72</v>
      </c>
      <c r="D59" s="50">
        <f t="shared" si="8"/>
        <v>13.758148064836121</v>
      </c>
      <c r="E59" s="29">
        <v>171</v>
      </c>
      <c r="F59" s="29">
        <v>1.6</v>
      </c>
      <c r="G59" s="29"/>
      <c r="H59" s="29"/>
      <c r="I59" s="29"/>
      <c r="J59" s="29"/>
      <c r="K59" s="29"/>
      <c r="L59" s="29">
        <v>-71</v>
      </c>
      <c r="M59" s="50">
        <f t="shared" si="9"/>
        <v>19.700359138583323</v>
      </c>
      <c r="N59" s="29">
        <v>145</v>
      </c>
      <c r="O59" s="29">
        <v>1.2</v>
      </c>
      <c r="P59" s="30">
        <v>-74</v>
      </c>
      <c r="Q59" s="29"/>
      <c r="R59" s="31">
        <v>-72</v>
      </c>
      <c r="T59" s="69"/>
      <c r="U59" s="15" t="s">
        <v>6</v>
      </c>
      <c r="V59" s="14">
        <f>$AF$38</f>
        <v>-47.5</v>
      </c>
      <c r="W59" s="12">
        <v>110</v>
      </c>
      <c r="X59" s="10">
        <v>150</v>
      </c>
      <c r="Y59" s="20">
        <f t="shared" si="6"/>
        <v>157.24185193516388</v>
      </c>
      <c r="Z59" s="21">
        <f t="shared" si="10"/>
        <v>191.97981664747991</v>
      </c>
      <c r="AA59" s="20">
        <f t="shared" si="7"/>
        <v>125.29964086141668</v>
      </c>
    </row>
    <row r="60" spans="1:32" ht="15.75" outlineLevel="1" x14ac:dyDescent="0.4">
      <c r="A60" s="53">
        <v>11</v>
      </c>
      <c r="B60" s="32" t="s">
        <v>5</v>
      </c>
      <c r="C60" s="26">
        <v>-78</v>
      </c>
      <c r="D60" s="51">
        <f t="shared" si="8"/>
        <v>21.687804581186015</v>
      </c>
      <c r="E60" s="26">
        <v>182</v>
      </c>
      <c r="F60" s="26">
        <v>3.9</v>
      </c>
      <c r="G60" s="26"/>
      <c r="H60" s="26"/>
      <c r="I60" s="26"/>
      <c r="J60" s="26"/>
      <c r="K60" s="26"/>
      <c r="L60" s="26">
        <v>-76</v>
      </c>
      <c r="M60" s="51">
        <f t="shared" si="9"/>
        <v>26.653548464157751</v>
      </c>
      <c r="N60" s="26">
        <v>213</v>
      </c>
      <c r="O60" s="26">
        <v>2.5</v>
      </c>
      <c r="P60" s="27">
        <v>-78</v>
      </c>
      <c r="Q60" s="26"/>
      <c r="R60" s="28">
        <v>-79</v>
      </c>
      <c r="T60" s="68">
        <v>11</v>
      </c>
      <c r="U60" s="15" t="s">
        <v>5</v>
      </c>
      <c r="V60" s="14">
        <f>$AD$38</f>
        <v>47.5</v>
      </c>
      <c r="W60" s="12">
        <v>160</v>
      </c>
      <c r="X60" s="10">
        <v>80</v>
      </c>
      <c r="Y60" s="20">
        <f t="shared" si="6"/>
        <v>160.31219541881399</v>
      </c>
      <c r="Z60" s="21">
        <f t="shared" si="10"/>
        <v>185.08444018879598</v>
      </c>
      <c r="AA60" s="20">
        <f t="shared" si="7"/>
        <v>186.34645153584225</v>
      </c>
    </row>
    <row r="61" spans="1:32" ht="15.75" outlineLevel="1" x14ac:dyDescent="0.4">
      <c r="A61" s="53"/>
      <c r="B61" s="32" t="s">
        <v>6</v>
      </c>
      <c r="C61" s="29">
        <v>-75</v>
      </c>
      <c r="D61" s="50">
        <f t="shared" si="8"/>
        <v>10.519925093649391</v>
      </c>
      <c r="E61" s="29">
        <v>181.4</v>
      </c>
      <c r="F61" s="29">
        <v>1.6</v>
      </c>
      <c r="G61" s="29"/>
      <c r="H61" s="29"/>
      <c r="I61" s="29"/>
      <c r="J61" s="29"/>
      <c r="K61" s="29"/>
      <c r="L61" s="29">
        <v>-77</v>
      </c>
      <c r="M61" s="50">
        <f t="shared" si="9"/>
        <v>25.787852039828493</v>
      </c>
      <c r="N61" s="29">
        <v>221.3</v>
      </c>
      <c r="O61" s="29">
        <v>1.3</v>
      </c>
      <c r="P61" s="30">
        <v>-74</v>
      </c>
      <c r="Q61" s="29"/>
      <c r="R61" s="31">
        <v>-74</v>
      </c>
      <c r="T61" s="69"/>
      <c r="U61" s="15" t="s">
        <v>6</v>
      </c>
      <c r="V61" s="14">
        <f>$AD$38</f>
        <v>47.5</v>
      </c>
      <c r="W61" s="12">
        <v>160</v>
      </c>
      <c r="X61" s="10">
        <v>150</v>
      </c>
      <c r="Y61" s="20">
        <f t="shared" si="6"/>
        <v>170.88007490635061</v>
      </c>
      <c r="Z61" s="21">
        <f t="shared" si="10"/>
        <v>224.40198305719136</v>
      </c>
      <c r="AA61" s="20">
        <f t="shared" si="7"/>
        <v>195.51214796017152</v>
      </c>
    </row>
    <row r="62" spans="1:32" ht="15.75" outlineLevel="1" x14ac:dyDescent="0.4">
      <c r="A62" s="53">
        <v>12</v>
      </c>
      <c r="B62" s="32" t="s">
        <v>5</v>
      </c>
      <c r="C62" s="26">
        <v>-76</v>
      </c>
      <c r="D62" s="51">
        <f t="shared" si="8"/>
        <v>10.098773927940357</v>
      </c>
      <c r="E62" s="26">
        <v>177.3</v>
      </c>
      <c r="F62" s="26">
        <v>1.8</v>
      </c>
      <c r="G62" s="26"/>
      <c r="H62" s="26"/>
      <c r="I62" s="26"/>
      <c r="J62" s="26"/>
      <c r="K62" s="26"/>
      <c r="L62" s="26">
        <v>-74</v>
      </c>
      <c r="M62" s="51">
        <f t="shared" si="9"/>
        <v>13.298773927940346</v>
      </c>
      <c r="N62" s="26">
        <v>180.5</v>
      </c>
      <c r="O62" s="26">
        <v>1.8</v>
      </c>
      <c r="P62" s="27">
        <v>-77</v>
      </c>
      <c r="Q62" s="26"/>
      <c r="R62" s="28">
        <v>-76</v>
      </c>
      <c r="T62" s="68">
        <v>12</v>
      </c>
      <c r="U62" s="15" t="s">
        <v>5</v>
      </c>
      <c r="V62" s="14">
        <v>0</v>
      </c>
      <c r="W62" s="12">
        <v>160</v>
      </c>
      <c r="X62" s="10">
        <v>80</v>
      </c>
      <c r="Y62" s="20">
        <f t="shared" si="6"/>
        <v>167.20122607205965</v>
      </c>
      <c r="Z62" s="21">
        <f t="shared" si="10"/>
        <v>178.88543819998318</v>
      </c>
      <c r="AA62" s="20">
        <f t="shared" si="7"/>
        <v>167.20122607205965</v>
      </c>
    </row>
    <row r="63" spans="1:32" ht="15.75" outlineLevel="1" x14ac:dyDescent="0.4">
      <c r="A63" s="53"/>
      <c r="B63" s="32" t="s">
        <v>6</v>
      </c>
      <c r="C63" s="29">
        <v>-75</v>
      </c>
      <c r="D63" s="50">
        <f t="shared" si="8"/>
        <v>8.6409009946205231</v>
      </c>
      <c r="E63" s="29">
        <v>186</v>
      </c>
      <c r="F63" s="29">
        <v>1.8</v>
      </c>
      <c r="G63" s="29"/>
      <c r="H63" s="29"/>
      <c r="I63" s="29"/>
      <c r="J63" s="29"/>
      <c r="K63" s="29"/>
      <c r="L63" s="29">
        <v>-74</v>
      </c>
      <c r="M63" s="50">
        <f t="shared" si="9"/>
        <v>13.640900994620523</v>
      </c>
      <c r="N63" s="29">
        <v>191</v>
      </c>
      <c r="O63" s="29">
        <v>1.3</v>
      </c>
      <c r="P63" s="30">
        <v>-75</v>
      </c>
      <c r="Q63" s="29"/>
      <c r="R63" s="31">
        <v>-76</v>
      </c>
      <c r="T63" s="69"/>
      <c r="U63" s="15" t="s">
        <v>6</v>
      </c>
      <c r="V63" s="14">
        <v>0</v>
      </c>
      <c r="W63" s="12">
        <v>160</v>
      </c>
      <c r="X63" s="10">
        <v>150</v>
      </c>
      <c r="Y63" s="20">
        <f t="shared" si="6"/>
        <v>177.35909900537948</v>
      </c>
      <c r="Z63" s="21">
        <f t="shared" si="10"/>
        <v>219.31712199461307</v>
      </c>
      <c r="AA63" s="20">
        <f t="shared" si="7"/>
        <v>177.35909900537948</v>
      </c>
    </row>
    <row r="64" spans="1:32" ht="15.75" outlineLevel="1" x14ac:dyDescent="0.4">
      <c r="A64" s="53">
        <v>13</v>
      </c>
      <c r="B64" s="32" t="s">
        <v>5</v>
      </c>
      <c r="C64" s="26">
        <v>-76</v>
      </c>
      <c r="D64" s="51">
        <f t="shared" si="8"/>
        <v>27.953548464157763</v>
      </c>
      <c r="E64" s="26">
        <v>214.3</v>
      </c>
      <c r="F64" s="26">
        <v>1.6</v>
      </c>
      <c r="G64" s="26"/>
      <c r="H64" s="26"/>
      <c r="I64" s="26"/>
      <c r="J64" s="26"/>
      <c r="K64" s="26"/>
      <c r="L64" s="26">
        <v>-75</v>
      </c>
      <c r="M64" s="51">
        <f t="shared" si="9"/>
        <v>16.787804581186009</v>
      </c>
      <c r="N64" s="26">
        <v>177.1</v>
      </c>
      <c r="O64" s="26">
        <v>1.3</v>
      </c>
      <c r="P64" s="27">
        <v>-77</v>
      </c>
      <c r="Q64" s="26"/>
      <c r="R64" s="28">
        <v>-75</v>
      </c>
      <c r="T64" s="68">
        <v>13</v>
      </c>
      <c r="U64" s="15" t="s">
        <v>5</v>
      </c>
      <c r="V64" s="14">
        <f>$AF$38</f>
        <v>-47.5</v>
      </c>
      <c r="W64" s="12">
        <v>160</v>
      </c>
      <c r="X64" s="10">
        <v>80</v>
      </c>
      <c r="Y64" s="20">
        <f t="shared" si="6"/>
        <v>186.34645153584225</v>
      </c>
      <c r="Z64" s="21">
        <f t="shared" si="10"/>
        <v>185.08444018879598</v>
      </c>
      <c r="AA64" s="20">
        <f t="shared" si="7"/>
        <v>160.31219541881399</v>
      </c>
    </row>
    <row r="65" spans="1:32" ht="15.75" outlineLevel="1" x14ac:dyDescent="0.4">
      <c r="A65" s="53"/>
      <c r="B65" s="32" t="s">
        <v>6</v>
      </c>
      <c r="C65" s="29">
        <v>-76</v>
      </c>
      <c r="D65" s="50">
        <f t="shared" si="8"/>
        <v>18.487852039828482</v>
      </c>
      <c r="E65" s="29">
        <v>214</v>
      </c>
      <c r="F65" s="29">
        <v>1.6</v>
      </c>
      <c r="G65" s="29"/>
      <c r="H65" s="29"/>
      <c r="I65" s="29"/>
      <c r="J65" s="29"/>
      <c r="K65" s="29"/>
      <c r="L65" s="29">
        <v>-74</v>
      </c>
      <c r="M65" s="50">
        <f t="shared" si="9"/>
        <v>18.119925093649385</v>
      </c>
      <c r="N65" s="29">
        <v>189</v>
      </c>
      <c r="O65" s="29">
        <v>1.1000000000000001</v>
      </c>
      <c r="P65" s="30">
        <v>-74</v>
      </c>
      <c r="Q65" s="29"/>
      <c r="R65" s="31">
        <v>-72</v>
      </c>
      <c r="T65" s="69"/>
      <c r="U65" s="15" t="s">
        <v>6</v>
      </c>
      <c r="V65" s="14">
        <f>$AF$38</f>
        <v>-47.5</v>
      </c>
      <c r="W65" s="12">
        <v>160</v>
      </c>
      <c r="X65" s="10">
        <v>150</v>
      </c>
      <c r="Y65" s="20">
        <f t="shared" si="6"/>
        <v>195.51214796017152</v>
      </c>
      <c r="Z65" s="21">
        <f t="shared" si="10"/>
        <v>224.40198305719136</v>
      </c>
      <c r="AA65" s="20">
        <f t="shared" si="7"/>
        <v>170.88007490635061</v>
      </c>
    </row>
    <row r="66" spans="1:32" ht="15.75" outlineLevel="1" x14ac:dyDescent="0.4">
      <c r="A66" s="53">
        <v>14</v>
      </c>
      <c r="B66" s="32" t="s">
        <v>5</v>
      </c>
      <c r="C66" s="26">
        <v>-77</v>
      </c>
      <c r="D66" s="51">
        <f t="shared" si="8"/>
        <v>23.462880227094075</v>
      </c>
      <c r="E66" s="26">
        <v>239</v>
      </c>
      <c r="F66" s="26">
        <v>3</v>
      </c>
      <c r="G66" s="26"/>
      <c r="H66" s="26"/>
      <c r="I66" s="26"/>
      <c r="J66" s="26"/>
      <c r="K66" s="26"/>
      <c r="L66" s="26">
        <v>-76</v>
      </c>
      <c r="M66" s="51">
        <f t="shared" si="9"/>
        <v>11.462880227094075</v>
      </c>
      <c r="N66" s="26">
        <v>227</v>
      </c>
      <c r="O66" s="26">
        <v>1.4</v>
      </c>
      <c r="P66" s="27">
        <v>-75</v>
      </c>
      <c r="Q66" s="26"/>
      <c r="R66" s="28">
        <v>-78</v>
      </c>
      <c r="T66" s="68">
        <v>14</v>
      </c>
      <c r="U66" s="15" t="s">
        <v>5</v>
      </c>
      <c r="V66" s="14">
        <v>0</v>
      </c>
      <c r="W66" s="12">
        <v>210</v>
      </c>
      <c r="X66" s="10">
        <v>80</v>
      </c>
      <c r="Y66" s="20">
        <f t="shared" si="6"/>
        <v>215.53711977290592</v>
      </c>
      <c r="Z66" s="21">
        <f t="shared" si="10"/>
        <v>224.72205054244233</v>
      </c>
      <c r="AA66" s="20">
        <f t="shared" si="7"/>
        <v>215.53711977290592</v>
      </c>
    </row>
    <row r="67" spans="1:32" ht="15.75" outlineLevel="1" x14ac:dyDescent="0.4">
      <c r="A67" s="57"/>
      <c r="B67" s="33" t="s">
        <v>6</v>
      </c>
      <c r="C67" s="34">
        <v>-77</v>
      </c>
      <c r="D67" s="52">
        <f t="shared" si="8"/>
        <v>6.4910516332735142</v>
      </c>
      <c r="E67" s="34">
        <v>230</v>
      </c>
      <c r="F67" s="34">
        <v>3.5</v>
      </c>
      <c r="G67" s="34"/>
      <c r="H67" s="34"/>
      <c r="I67" s="34"/>
      <c r="J67" s="34"/>
      <c r="K67" s="34"/>
      <c r="L67" s="34">
        <v>-75</v>
      </c>
      <c r="M67" s="52">
        <f t="shared" si="9"/>
        <v>16.491051633273514</v>
      </c>
      <c r="N67" s="34">
        <v>240</v>
      </c>
      <c r="O67" s="34">
        <v>1.7</v>
      </c>
      <c r="P67" s="35">
        <v>-73</v>
      </c>
      <c r="Q67" s="34"/>
      <c r="R67" s="36">
        <v>-76</v>
      </c>
      <c r="T67" s="69"/>
      <c r="U67" s="15" t="s">
        <v>6</v>
      </c>
      <c r="V67" s="14">
        <v>0</v>
      </c>
      <c r="W67" s="12">
        <v>210</v>
      </c>
      <c r="X67" s="10">
        <v>150</v>
      </c>
      <c r="Y67" s="20">
        <f t="shared" si="6"/>
        <v>223.50894836672649</v>
      </c>
      <c r="Z67" s="21">
        <f t="shared" si="10"/>
        <v>258.06975801127879</v>
      </c>
      <c r="AA67" s="20">
        <f t="shared" si="7"/>
        <v>223.50894836672649</v>
      </c>
    </row>
    <row r="68" spans="1:32" outlineLevel="1" x14ac:dyDescent="0.4">
      <c r="A68" s="79" t="s">
        <v>35</v>
      </c>
      <c r="B68" s="80"/>
      <c r="C68" s="37">
        <f t="shared" ref="C68:P68" si="11">AVERAGE(C38:C67)</f>
        <v>-71.533333333333331</v>
      </c>
      <c r="D68" s="37"/>
      <c r="E68" s="37"/>
      <c r="F68" s="37">
        <f t="shared" si="11"/>
        <v>2.3266666666666671</v>
      </c>
      <c r="G68" s="37"/>
      <c r="H68" s="37"/>
      <c r="I68" s="37"/>
      <c r="J68" s="37"/>
      <c r="K68" s="37"/>
      <c r="L68" s="37">
        <f t="shared" si="11"/>
        <v>-72.233333333333334</v>
      </c>
      <c r="M68" s="37"/>
      <c r="N68" s="37"/>
      <c r="O68" s="37">
        <f t="shared" si="11"/>
        <v>1.75</v>
      </c>
      <c r="P68" s="37">
        <f t="shared" si="11"/>
        <v>-70.566666666666663</v>
      </c>
      <c r="Q68" s="37"/>
      <c r="R68" s="38">
        <f>AVERAGE(R38:R67)</f>
        <v>-71.833333333333329</v>
      </c>
    </row>
    <row r="69" spans="1:32" ht="15.75" x14ac:dyDescent="0.4">
      <c r="A69" s="55" t="s">
        <v>31</v>
      </c>
      <c r="B69" s="55"/>
      <c r="C69" s="55"/>
      <c r="D69" s="55"/>
      <c r="E69" s="55"/>
      <c r="F69" s="55"/>
      <c r="G69" s="55"/>
      <c r="H69" s="55"/>
      <c r="I69" s="48"/>
    </row>
    <row r="70" spans="1:32" ht="14.65" outlineLevel="1" x14ac:dyDescent="0.4">
      <c r="A70" s="58"/>
      <c r="B70" s="59"/>
      <c r="C70" s="59" t="s">
        <v>1</v>
      </c>
      <c r="D70" s="59"/>
      <c r="E70" s="59"/>
      <c r="F70" s="59"/>
      <c r="G70" s="59"/>
      <c r="H70" s="59" t="s">
        <v>2</v>
      </c>
      <c r="I70" s="59"/>
      <c r="J70" s="59"/>
      <c r="K70" s="59"/>
      <c r="L70" s="59" t="s">
        <v>3</v>
      </c>
      <c r="M70" s="59"/>
      <c r="N70" s="59"/>
      <c r="O70" s="59"/>
      <c r="P70" s="59" t="s">
        <v>4</v>
      </c>
      <c r="Q70" s="59"/>
      <c r="R70" s="62"/>
    </row>
    <row r="71" spans="1:32" ht="15.75" outlineLevel="1" x14ac:dyDescent="0.4">
      <c r="A71" s="60"/>
      <c r="B71" s="61"/>
      <c r="C71" s="43" t="s">
        <v>0</v>
      </c>
      <c r="D71" s="43" t="s">
        <v>36</v>
      </c>
      <c r="E71" s="43" t="s">
        <v>7</v>
      </c>
      <c r="F71" s="43" t="s">
        <v>8</v>
      </c>
      <c r="G71" s="43" t="s">
        <v>10</v>
      </c>
      <c r="H71" s="43" t="s">
        <v>0</v>
      </c>
      <c r="I71" s="43" t="s">
        <v>36</v>
      </c>
      <c r="J71" s="43" t="s">
        <v>7</v>
      </c>
      <c r="K71" s="43" t="s">
        <v>8</v>
      </c>
      <c r="L71" s="43" t="s">
        <v>0</v>
      </c>
      <c r="M71" s="43" t="s">
        <v>36</v>
      </c>
      <c r="N71" s="43" t="s">
        <v>7</v>
      </c>
      <c r="O71" s="43" t="s">
        <v>8</v>
      </c>
      <c r="P71" s="44" t="s">
        <v>14</v>
      </c>
      <c r="Q71" s="43" t="s">
        <v>15</v>
      </c>
      <c r="R71" s="45" t="s">
        <v>16</v>
      </c>
      <c r="T71" s="22"/>
      <c r="U71" s="22"/>
      <c r="V71" s="22" t="s">
        <v>20</v>
      </c>
      <c r="W71" s="22" t="s">
        <v>21</v>
      </c>
      <c r="X71" s="22" t="s">
        <v>9</v>
      </c>
      <c r="Y71" s="23" t="s">
        <v>24</v>
      </c>
      <c r="Z71" s="23" t="s">
        <v>25</v>
      </c>
      <c r="AA71" s="23" t="s">
        <v>26</v>
      </c>
      <c r="AC71" s="7"/>
      <c r="AD71" s="7" t="s">
        <v>11</v>
      </c>
      <c r="AE71" s="7" t="s">
        <v>12</v>
      </c>
      <c r="AF71" s="7" t="s">
        <v>13</v>
      </c>
    </row>
    <row r="72" spans="1:32" ht="17.25" customHeight="1" outlineLevel="1" x14ac:dyDescent="0.4">
      <c r="A72" s="56">
        <v>0</v>
      </c>
      <c r="B72" s="39" t="s">
        <v>5</v>
      </c>
      <c r="C72" s="40">
        <v>-66</v>
      </c>
      <c r="D72" s="49">
        <f>E72-Y72</f>
        <v>16.515338304096815</v>
      </c>
      <c r="E72" s="40">
        <v>80.400000000000006</v>
      </c>
      <c r="F72" s="40">
        <v>1.7</v>
      </c>
      <c r="G72" s="40"/>
      <c r="H72" s="40"/>
      <c r="I72" s="40"/>
      <c r="J72" s="40"/>
      <c r="K72" s="40"/>
      <c r="L72" s="40">
        <v>-77</v>
      </c>
      <c r="M72" s="49">
        <f>N72-AA72</f>
        <v>29.115338304096809</v>
      </c>
      <c r="N72" s="40">
        <v>93</v>
      </c>
      <c r="O72" s="40">
        <v>1.5</v>
      </c>
      <c r="P72" s="41">
        <v>-69</v>
      </c>
      <c r="Q72" s="40"/>
      <c r="R72" s="42">
        <v>-63</v>
      </c>
      <c r="T72" s="68">
        <v>0</v>
      </c>
      <c r="U72" s="16" t="s">
        <v>5</v>
      </c>
      <c r="V72" s="17">
        <v>0</v>
      </c>
      <c r="W72" s="18">
        <v>-40</v>
      </c>
      <c r="X72" s="19">
        <v>80</v>
      </c>
      <c r="Y72" s="20">
        <f t="shared" ref="Y72:Y101" si="12">SQRT(POWER($AD$72-V72,2)+POWER($AD$73-W72,2)+POWER($AD$74-X72,2))</f>
        <v>63.884661695903191</v>
      </c>
      <c r="Z72" s="21">
        <f>SQRT(POWER($AE$72-V72,2)+POWER($AE$73-W72,2)+POWER($AE$74-X72,2))</f>
        <v>89.442719099991592</v>
      </c>
      <c r="AA72" s="20">
        <f t="shared" ref="AA72:AA101" si="13">SQRT(POWER($AF$72-V72,2)+POWER($AF$73-W72,2)+POWER($AF$74-X72,2))</f>
        <v>63.884661695903191</v>
      </c>
      <c r="AC72" s="5" t="s">
        <v>17</v>
      </c>
      <c r="AD72" s="8">
        <v>47.5</v>
      </c>
      <c r="AE72" s="6">
        <v>0</v>
      </c>
      <c r="AF72" s="8">
        <v>-47.5</v>
      </c>
    </row>
    <row r="73" spans="1:32" ht="13.5" customHeight="1" outlineLevel="1" x14ac:dyDescent="0.4">
      <c r="A73" s="53"/>
      <c r="B73" s="32" t="s">
        <v>6</v>
      </c>
      <c r="C73" s="29">
        <v>-70</v>
      </c>
      <c r="D73" s="50">
        <f t="shared" ref="D73:D101" si="14">E73-Y73</f>
        <v>10.046699884814714</v>
      </c>
      <c r="E73" s="29">
        <v>93</v>
      </c>
      <c r="F73" s="29">
        <v>3.4</v>
      </c>
      <c r="G73" s="29"/>
      <c r="H73" s="29"/>
      <c r="I73" s="29"/>
      <c r="J73" s="29"/>
      <c r="K73" s="29"/>
      <c r="L73" s="29">
        <v>-72</v>
      </c>
      <c r="M73" s="50">
        <f t="shared" ref="M73:M101" si="15">N73-AA73</f>
        <v>31.046699884814714</v>
      </c>
      <c r="N73" s="29">
        <v>114</v>
      </c>
      <c r="O73" s="29">
        <v>1</v>
      </c>
      <c r="P73" s="30">
        <v>-62</v>
      </c>
      <c r="Q73" s="29"/>
      <c r="R73" s="31">
        <v>-63</v>
      </c>
      <c r="T73" s="69"/>
      <c r="U73" s="15" t="s">
        <v>6</v>
      </c>
      <c r="V73" s="14">
        <v>0</v>
      </c>
      <c r="W73" s="12">
        <v>-40</v>
      </c>
      <c r="X73" s="10">
        <v>150</v>
      </c>
      <c r="Y73" s="20">
        <f t="shared" si="12"/>
        <v>82.953300115185286</v>
      </c>
      <c r="Z73" s="21">
        <f t="shared" ref="Z73:Z101" si="16">SQRT(POWER($AE$72-V73,2)+POWER($AE$73-W73,2)+POWER($AE$74-X73,2))</f>
        <v>155.24174696260025</v>
      </c>
      <c r="AA73" s="20">
        <f t="shared" si="13"/>
        <v>82.953300115185286</v>
      </c>
      <c r="AC73" s="3" t="s">
        <v>18</v>
      </c>
      <c r="AD73" s="1">
        <v>0</v>
      </c>
      <c r="AE73" s="1">
        <v>0</v>
      </c>
      <c r="AF73" s="1">
        <v>0</v>
      </c>
    </row>
    <row r="74" spans="1:32" ht="15.75" customHeight="1" outlineLevel="1" x14ac:dyDescent="0.4">
      <c r="A74" s="53">
        <v>1</v>
      </c>
      <c r="B74" s="32" t="s">
        <v>5</v>
      </c>
      <c r="C74" s="26">
        <v>-74</v>
      </c>
      <c r="D74" s="51">
        <f t="shared" si="14"/>
        <v>9.0878528870718114</v>
      </c>
      <c r="E74" s="26">
        <v>58.9</v>
      </c>
      <c r="F74" s="26">
        <v>1.5</v>
      </c>
      <c r="G74" s="26"/>
      <c r="H74" s="26"/>
      <c r="I74" s="26"/>
      <c r="J74" s="26"/>
      <c r="K74" s="26"/>
      <c r="L74" s="26">
        <v>-78</v>
      </c>
      <c r="M74" s="51">
        <f t="shared" si="15"/>
        <v>11.48785288707181</v>
      </c>
      <c r="N74" s="26">
        <v>61.3</v>
      </c>
      <c r="O74" s="26">
        <v>2.1</v>
      </c>
      <c r="P74" s="27">
        <v>-74</v>
      </c>
      <c r="Q74" s="26"/>
      <c r="R74" s="28">
        <v>-78</v>
      </c>
      <c r="T74" s="68">
        <v>1</v>
      </c>
      <c r="U74" s="15" t="s">
        <v>5</v>
      </c>
      <c r="V74" s="14">
        <v>0</v>
      </c>
      <c r="W74" s="12">
        <v>0</v>
      </c>
      <c r="X74" s="10">
        <v>80</v>
      </c>
      <c r="Y74" s="20">
        <f t="shared" si="12"/>
        <v>49.812147112928187</v>
      </c>
      <c r="Z74" s="21">
        <f t="shared" si="16"/>
        <v>80</v>
      </c>
      <c r="AA74" s="20">
        <f t="shared" si="13"/>
        <v>49.812147112928187</v>
      </c>
      <c r="AC74" s="4" t="s">
        <v>19</v>
      </c>
      <c r="AD74" s="2">
        <v>95</v>
      </c>
      <c r="AE74" s="2">
        <v>0</v>
      </c>
      <c r="AF74" s="2">
        <v>95</v>
      </c>
    </row>
    <row r="75" spans="1:32" ht="14.65" customHeight="1" outlineLevel="1" x14ac:dyDescent="0.4">
      <c r="A75" s="53"/>
      <c r="B75" s="32" t="s">
        <v>6</v>
      </c>
      <c r="C75" s="29">
        <v>-70</v>
      </c>
      <c r="D75" s="50">
        <f t="shared" si="14"/>
        <v>24.32779073125684</v>
      </c>
      <c r="E75" s="29">
        <v>97</v>
      </c>
      <c r="F75" s="29">
        <v>1.3</v>
      </c>
      <c r="G75" s="29"/>
      <c r="H75" s="29"/>
      <c r="I75" s="29"/>
      <c r="J75" s="29"/>
      <c r="K75" s="29"/>
      <c r="L75" s="29">
        <v>-70</v>
      </c>
      <c r="M75" s="50">
        <f t="shared" si="15"/>
        <v>30.32779073125684</v>
      </c>
      <c r="N75" s="29">
        <v>103</v>
      </c>
      <c r="O75" s="29">
        <v>1.6</v>
      </c>
      <c r="P75" s="30">
        <v>-66</v>
      </c>
      <c r="Q75" s="29"/>
      <c r="R75" s="31">
        <v>-60</v>
      </c>
      <c r="T75" s="69"/>
      <c r="U75" s="15" t="s">
        <v>6</v>
      </c>
      <c r="V75" s="14">
        <v>0</v>
      </c>
      <c r="W75" s="12">
        <v>0</v>
      </c>
      <c r="X75" s="10">
        <v>150</v>
      </c>
      <c r="Y75" s="20">
        <f t="shared" si="12"/>
        <v>72.67220926874316</v>
      </c>
      <c r="Z75" s="21">
        <f t="shared" si="16"/>
        <v>150</v>
      </c>
      <c r="AA75" s="20">
        <f t="shared" si="13"/>
        <v>72.67220926874316</v>
      </c>
    </row>
    <row r="76" spans="1:32" ht="14.65" customHeight="1" outlineLevel="1" x14ac:dyDescent="0.4">
      <c r="A76" s="53">
        <v>2</v>
      </c>
      <c r="B76" s="32" t="s">
        <v>5</v>
      </c>
      <c r="C76" s="26">
        <v>-52</v>
      </c>
      <c r="D76" s="51">
        <f t="shared" si="14"/>
        <v>11.572243622680055</v>
      </c>
      <c r="E76" s="26">
        <v>29.6</v>
      </c>
      <c r="F76" s="26">
        <v>1.5</v>
      </c>
      <c r="G76" s="26"/>
      <c r="H76" s="26"/>
      <c r="I76" s="26"/>
      <c r="J76" s="26"/>
      <c r="K76" s="26"/>
      <c r="L76" s="26">
        <v>-78</v>
      </c>
      <c r="M76" s="51">
        <f t="shared" si="15"/>
        <v>53.004601970931404</v>
      </c>
      <c r="N76" s="26">
        <v>149.69999999999999</v>
      </c>
      <c r="O76" s="26">
        <v>3.7</v>
      </c>
      <c r="P76" s="27">
        <v>-52</v>
      </c>
      <c r="Q76" s="26"/>
      <c r="R76" s="28">
        <v>-78</v>
      </c>
      <c r="T76" s="68">
        <v>2</v>
      </c>
      <c r="U76" s="15" t="s">
        <v>5</v>
      </c>
      <c r="V76" s="14">
        <f>$AD$72</f>
        <v>47.5</v>
      </c>
      <c r="W76" s="12">
        <v>10</v>
      </c>
      <c r="X76" s="10">
        <v>80</v>
      </c>
      <c r="Y76" s="20">
        <f t="shared" si="12"/>
        <v>18.027756377319946</v>
      </c>
      <c r="Z76" s="21">
        <f t="shared" si="16"/>
        <v>93.574836361064513</v>
      </c>
      <c r="AA76" s="20">
        <f t="shared" si="13"/>
        <v>96.695398029068585</v>
      </c>
    </row>
    <row r="77" spans="1:32" ht="14.65" customHeight="1" outlineLevel="1" x14ac:dyDescent="0.4">
      <c r="A77" s="53"/>
      <c r="B77" s="32" t="s">
        <v>6</v>
      </c>
      <c r="C77" s="29">
        <v>-62</v>
      </c>
      <c r="D77" s="50">
        <f t="shared" si="14"/>
        <v>29.098300562505258</v>
      </c>
      <c r="E77" s="29">
        <v>85</v>
      </c>
      <c r="F77" s="29">
        <v>1.2</v>
      </c>
      <c r="G77" s="29"/>
      <c r="H77" s="29"/>
      <c r="I77" s="29"/>
      <c r="J77" s="29"/>
      <c r="K77" s="29"/>
      <c r="L77" s="29">
        <v>-73</v>
      </c>
      <c r="M77" s="50">
        <f t="shared" si="15"/>
        <v>44.772961574756991</v>
      </c>
      <c r="N77" s="29">
        <v>155</v>
      </c>
      <c r="O77" s="29">
        <v>1.9</v>
      </c>
      <c r="P77" s="30">
        <v>-60</v>
      </c>
      <c r="Q77" s="29"/>
      <c r="R77" s="31">
        <v>-70</v>
      </c>
      <c r="T77" s="69"/>
      <c r="U77" s="15" t="s">
        <v>6</v>
      </c>
      <c r="V77" s="14">
        <f>$AD$72</f>
        <v>47.5</v>
      </c>
      <c r="W77" s="12">
        <v>10</v>
      </c>
      <c r="X77" s="10">
        <v>150</v>
      </c>
      <c r="Y77" s="20">
        <f t="shared" si="12"/>
        <v>55.901699437494742</v>
      </c>
      <c r="Z77" s="21">
        <f t="shared" si="16"/>
        <v>157.65865025427561</v>
      </c>
      <c r="AA77" s="20">
        <f t="shared" si="13"/>
        <v>110.22703842524301</v>
      </c>
    </row>
    <row r="78" spans="1:32" ht="14.65" customHeight="1" outlineLevel="1" x14ac:dyDescent="0.4">
      <c r="A78" s="53">
        <v>3</v>
      </c>
      <c r="B78" s="32" t="s">
        <v>5</v>
      </c>
      <c r="C78" s="26">
        <v>-67</v>
      </c>
      <c r="D78" s="51">
        <f t="shared" si="14"/>
        <v>21.093996417746069</v>
      </c>
      <c r="E78" s="26">
        <v>71.900000000000006</v>
      </c>
      <c r="F78" s="26">
        <v>5.0999999999999996</v>
      </c>
      <c r="G78" s="26"/>
      <c r="H78" s="26"/>
      <c r="I78" s="26"/>
      <c r="J78" s="26"/>
      <c r="K78" s="26"/>
      <c r="L78" s="26">
        <v>-77</v>
      </c>
      <c r="M78" s="51">
        <f t="shared" si="15"/>
        <v>39.193996417746064</v>
      </c>
      <c r="N78" s="26">
        <v>90</v>
      </c>
      <c r="O78" s="26">
        <v>2.6</v>
      </c>
      <c r="P78" s="27">
        <v>-69</v>
      </c>
      <c r="Q78" s="26"/>
      <c r="R78" s="28">
        <v>-75</v>
      </c>
      <c r="T78" s="68">
        <v>3</v>
      </c>
      <c r="U78" s="15" t="s">
        <v>5</v>
      </c>
      <c r="V78" s="14">
        <v>0</v>
      </c>
      <c r="W78" s="12">
        <v>10</v>
      </c>
      <c r="X78" s="10">
        <v>80</v>
      </c>
      <c r="Y78" s="20">
        <f t="shared" si="12"/>
        <v>50.806003582253936</v>
      </c>
      <c r="Z78" s="21">
        <f t="shared" si="16"/>
        <v>80.622577482985491</v>
      </c>
      <c r="AA78" s="20">
        <f t="shared" si="13"/>
        <v>50.806003582253936</v>
      </c>
    </row>
    <row r="79" spans="1:32" ht="14.65" customHeight="1" outlineLevel="1" x14ac:dyDescent="0.4">
      <c r="A79" s="53"/>
      <c r="B79" s="32" t="s">
        <v>6</v>
      </c>
      <c r="C79" s="29">
        <v>-72</v>
      </c>
      <c r="D79" s="50">
        <f t="shared" si="14"/>
        <v>40.642996244393956</v>
      </c>
      <c r="E79" s="29">
        <v>114</v>
      </c>
      <c r="F79" s="29">
        <v>10</v>
      </c>
      <c r="G79" s="29"/>
      <c r="H79" s="29"/>
      <c r="I79" s="29"/>
      <c r="J79" s="29"/>
      <c r="K79" s="29"/>
      <c r="L79" s="29">
        <v>-73</v>
      </c>
      <c r="M79" s="50">
        <f t="shared" si="15"/>
        <v>32.642996244393956</v>
      </c>
      <c r="N79" s="29">
        <v>106</v>
      </c>
      <c r="O79" s="29">
        <v>4.3</v>
      </c>
      <c r="P79" s="30">
        <v>-65</v>
      </c>
      <c r="Q79" s="29"/>
      <c r="R79" s="31">
        <v>-67</v>
      </c>
      <c r="T79" s="69"/>
      <c r="U79" s="15" t="s">
        <v>6</v>
      </c>
      <c r="V79" s="14">
        <v>0</v>
      </c>
      <c r="W79" s="12">
        <v>10</v>
      </c>
      <c r="X79" s="10">
        <v>150</v>
      </c>
      <c r="Y79" s="20">
        <f t="shared" si="12"/>
        <v>73.357003755606044</v>
      </c>
      <c r="Z79" s="21">
        <f t="shared" si="16"/>
        <v>150.33296378372907</v>
      </c>
      <c r="AA79" s="20">
        <f t="shared" si="13"/>
        <v>73.357003755606044</v>
      </c>
      <c r="AC79" s="70" t="s">
        <v>34</v>
      </c>
      <c r="AD79" s="81"/>
      <c r="AE79" s="81"/>
      <c r="AF79" s="82"/>
    </row>
    <row r="80" spans="1:32" ht="14.65" customHeight="1" outlineLevel="1" x14ac:dyDescent="0.4">
      <c r="A80" s="53">
        <v>4</v>
      </c>
      <c r="B80" s="32" t="s">
        <v>5</v>
      </c>
      <c r="C80" s="26">
        <v>-69</v>
      </c>
      <c r="D80" s="51">
        <f t="shared" si="14"/>
        <v>21.304601970931415</v>
      </c>
      <c r="E80" s="26">
        <v>118</v>
      </c>
      <c r="F80" s="26">
        <v>1.7</v>
      </c>
      <c r="G80" s="26"/>
      <c r="H80" s="26"/>
      <c r="I80" s="26"/>
      <c r="J80" s="26"/>
      <c r="K80" s="26"/>
      <c r="L80" s="26">
        <v>-60</v>
      </c>
      <c r="M80" s="51">
        <f t="shared" si="15"/>
        <v>15.972243622680054</v>
      </c>
      <c r="N80" s="26">
        <v>34</v>
      </c>
      <c r="O80" s="26">
        <v>1.2</v>
      </c>
      <c r="P80" s="27">
        <v>-69</v>
      </c>
      <c r="Q80" s="26"/>
      <c r="R80" s="28">
        <v>-60</v>
      </c>
      <c r="T80" s="68">
        <v>4</v>
      </c>
      <c r="U80" s="15" t="s">
        <v>5</v>
      </c>
      <c r="V80" s="14">
        <f>$AF$72</f>
        <v>-47.5</v>
      </c>
      <c r="W80" s="12">
        <v>10</v>
      </c>
      <c r="X80" s="10">
        <v>80</v>
      </c>
      <c r="Y80" s="20">
        <f t="shared" si="12"/>
        <v>96.695398029068585</v>
      </c>
      <c r="Z80" s="21">
        <f t="shared" si="16"/>
        <v>93.574836361064513</v>
      </c>
      <c r="AA80" s="20">
        <f t="shared" si="13"/>
        <v>18.027756377319946</v>
      </c>
      <c r="AC80" s="83"/>
      <c r="AD80" s="84"/>
      <c r="AE80" s="84"/>
      <c r="AF80" s="85"/>
    </row>
    <row r="81" spans="1:32" ht="15.75" outlineLevel="1" x14ac:dyDescent="0.4">
      <c r="A81" s="53"/>
      <c r="B81" s="32" t="s">
        <v>6</v>
      </c>
      <c r="C81" s="29">
        <v>-79</v>
      </c>
      <c r="D81" s="50">
        <f t="shared" si="14"/>
        <v>26.772961574756991</v>
      </c>
      <c r="E81" s="29">
        <v>137</v>
      </c>
      <c r="F81" s="29">
        <v>2</v>
      </c>
      <c r="G81" s="29"/>
      <c r="H81" s="29"/>
      <c r="I81" s="29"/>
      <c r="J81" s="29"/>
      <c r="K81" s="29"/>
      <c r="L81" s="29">
        <v>-60</v>
      </c>
      <c r="M81" s="50">
        <f t="shared" si="15"/>
        <v>21.098300562505258</v>
      </c>
      <c r="N81" s="29">
        <v>77</v>
      </c>
      <c r="O81" s="29">
        <v>1.6</v>
      </c>
      <c r="P81" s="30">
        <v>-75</v>
      </c>
      <c r="Q81" s="29"/>
      <c r="R81" s="31">
        <v>-62</v>
      </c>
      <c r="T81" s="69"/>
      <c r="U81" s="15" t="s">
        <v>6</v>
      </c>
      <c r="V81" s="14">
        <f>$AF$72</f>
        <v>-47.5</v>
      </c>
      <c r="W81" s="12">
        <v>10</v>
      </c>
      <c r="X81" s="10">
        <v>150</v>
      </c>
      <c r="Y81" s="20">
        <f t="shared" si="12"/>
        <v>110.22703842524301</v>
      </c>
      <c r="Z81" s="21">
        <f t="shared" si="16"/>
        <v>157.65865025427561</v>
      </c>
      <c r="AA81" s="20">
        <f t="shared" si="13"/>
        <v>55.901699437494742</v>
      </c>
      <c r="AC81" s="83"/>
      <c r="AD81" s="84"/>
      <c r="AE81" s="84"/>
      <c r="AF81" s="85"/>
    </row>
    <row r="82" spans="1:32" ht="15.75" outlineLevel="1" x14ac:dyDescent="0.4">
      <c r="A82" s="53">
        <v>5</v>
      </c>
      <c r="B82" s="32" t="s">
        <v>5</v>
      </c>
      <c r="C82" s="26">
        <v>-64</v>
      </c>
      <c r="D82" s="51">
        <f t="shared" si="14"/>
        <v>4.8534156157350949</v>
      </c>
      <c r="E82" s="26">
        <v>66.7</v>
      </c>
      <c r="F82" s="26">
        <v>1.4</v>
      </c>
      <c r="G82" s="26"/>
      <c r="H82" s="26"/>
      <c r="I82" s="26"/>
      <c r="J82" s="26"/>
      <c r="K82" s="26"/>
      <c r="L82" s="26">
        <v>-79</v>
      </c>
      <c r="M82" s="51">
        <f t="shared" si="15"/>
        <v>26.142159512453659</v>
      </c>
      <c r="N82" s="26">
        <v>139.5</v>
      </c>
      <c r="O82" s="26">
        <v>2</v>
      </c>
      <c r="P82" s="27">
        <v>-65</v>
      </c>
      <c r="Q82" s="26"/>
      <c r="R82" s="28">
        <v>-70</v>
      </c>
      <c r="T82" s="68">
        <v>5</v>
      </c>
      <c r="U82" s="15" t="s">
        <v>5</v>
      </c>
      <c r="V82" s="14">
        <f>$AD$72</f>
        <v>47.5</v>
      </c>
      <c r="W82" s="12">
        <v>60</v>
      </c>
      <c r="X82" s="10">
        <v>80</v>
      </c>
      <c r="Y82" s="20">
        <f t="shared" si="12"/>
        <v>61.846584384264908</v>
      </c>
      <c r="Z82" s="21">
        <f t="shared" si="16"/>
        <v>110.70794912742264</v>
      </c>
      <c r="AA82" s="20">
        <f t="shared" si="13"/>
        <v>113.35784048754634</v>
      </c>
      <c r="AC82" s="83"/>
      <c r="AD82" s="84"/>
      <c r="AE82" s="84"/>
      <c r="AF82" s="85"/>
    </row>
    <row r="83" spans="1:32" ht="15.75" outlineLevel="1" x14ac:dyDescent="0.4">
      <c r="A83" s="53"/>
      <c r="B83" s="32" t="s">
        <v>6</v>
      </c>
      <c r="C83" s="29">
        <v>-71</v>
      </c>
      <c r="D83" s="50">
        <f t="shared" si="14"/>
        <v>12.605897019501469</v>
      </c>
      <c r="E83" s="29">
        <v>94</v>
      </c>
      <c r="F83" s="29">
        <v>4.3</v>
      </c>
      <c r="G83" s="29"/>
      <c r="H83" s="29"/>
      <c r="I83" s="29"/>
      <c r="J83" s="29"/>
      <c r="K83" s="29"/>
      <c r="L83" s="29">
        <v>-70</v>
      </c>
      <c r="M83" s="50">
        <f t="shared" si="15"/>
        <v>37.900039968031962</v>
      </c>
      <c r="N83" s="29">
        <v>163</v>
      </c>
      <c r="O83" s="29">
        <v>2.2999999999999998</v>
      </c>
      <c r="P83" s="30">
        <v>-71</v>
      </c>
      <c r="Q83" s="29"/>
      <c r="R83" s="31">
        <v>-69</v>
      </c>
      <c r="T83" s="69"/>
      <c r="U83" s="15" t="s">
        <v>6</v>
      </c>
      <c r="V83" s="14">
        <f>$AD$72</f>
        <v>47.5</v>
      </c>
      <c r="W83" s="12">
        <v>60</v>
      </c>
      <c r="X83" s="10">
        <v>150</v>
      </c>
      <c r="Y83" s="20">
        <f t="shared" si="12"/>
        <v>81.394102980498531</v>
      </c>
      <c r="Z83" s="21">
        <f t="shared" si="16"/>
        <v>168.3931411904891</v>
      </c>
      <c r="AA83" s="20">
        <f t="shared" si="13"/>
        <v>125.09996003196804</v>
      </c>
      <c r="AC83" s="83"/>
      <c r="AD83" s="84"/>
      <c r="AE83" s="84"/>
      <c r="AF83" s="85"/>
    </row>
    <row r="84" spans="1:32" ht="15.75" outlineLevel="1" x14ac:dyDescent="0.4">
      <c r="A84" s="53">
        <v>6</v>
      </c>
      <c r="B84" s="32" t="s">
        <v>5</v>
      </c>
      <c r="C84" s="26">
        <v>-71</v>
      </c>
      <c r="D84" s="51">
        <f t="shared" si="14"/>
        <v>17.217630197588889</v>
      </c>
      <c r="E84" s="26">
        <v>95.2</v>
      </c>
      <c r="F84" s="26">
        <v>1.7</v>
      </c>
      <c r="G84" s="26"/>
      <c r="H84" s="26"/>
      <c r="I84" s="26"/>
      <c r="J84" s="26"/>
      <c r="K84" s="26"/>
      <c r="L84" s="26">
        <v>-72</v>
      </c>
      <c r="M84" s="51">
        <f t="shared" si="15"/>
        <v>17.917630197588892</v>
      </c>
      <c r="N84" s="26">
        <v>95.9</v>
      </c>
      <c r="O84" s="26">
        <v>1.1000000000000001</v>
      </c>
      <c r="P84" s="27">
        <v>-71</v>
      </c>
      <c r="Q84" s="26"/>
      <c r="R84" s="28">
        <v>-75</v>
      </c>
      <c r="T84" s="68">
        <v>6</v>
      </c>
      <c r="U84" s="15" t="s">
        <v>5</v>
      </c>
      <c r="V84" s="14">
        <v>0</v>
      </c>
      <c r="W84" s="12">
        <v>60</v>
      </c>
      <c r="X84" s="10">
        <v>80</v>
      </c>
      <c r="Y84" s="20">
        <f t="shared" si="12"/>
        <v>77.982369802411114</v>
      </c>
      <c r="Z84" s="21">
        <f t="shared" si="16"/>
        <v>100</v>
      </c>
      <c r="AA84" s="20">
        <f t="shared" si="13"/>
        <v>77.982369802411114</v>
      </c>
      <c r="AC84" s="86"/>
      <c r="AD84" s="87"/>
      <c r="AE84" s="87"/>
      <c r="AF84" s="88"/>
    </row>
    <row r="85" spans="1:32" ht="15.75" outlineLevel="1" x14ac:dyDescent="0.4">
      <c r="A85" s="53"/>
      <c r="B85" s="32" t="s">
        <v>6</v>
      </c>
      <c r="C85" s="29">
        <v>-72</v>
      </c>
      <c r="D85" s="50">
        <f t="shared" si="14"/>
        <v>8.7596158751461815</v>
      </c>
      <c r="E85" s="29">
        <v>103</v>
      </c>
      <c r="F85" s="29">
        <v>3.2</v>
      </c>
      <c r="G85" s="29"/>
      <c r="H85" s="29"/>
      <c r="I85" s="29"/>
      <c r="J85" s="29"/>
      <c r="K85" s="29"/>
      <c r="L85" s="29">
        <v>-68</v>
      </c>
      <c r="M85" s="50">
        <f t="shared" si="15"/>
        <v>17.759615875146181</v>
      </c>
      <c r="N85" s="29">
        <v>112</v>
      </c>
      <c r="O85" s="29">
        <v>1.5</v>
      </c>
      <c r="P85" s="30">
        <v>-70</v>
      </c>
      <c r="Q85" s="29"/>
      <c r="R85" s="31">
        <v>-72</v>
      </c>
      <c r="T85" s="69"/>
      <c r="U85" s="15" t="s">
        <v>6</v>
      </c>
      <c r="V85" s="14">
        <v>0</v>
      </c>
      <c r="W85" s="12">
        <v>60</v>
      </c>
      <c r="X85" s="10">
        <v>150</v>
      </c>
      <c r="Y85" s="20">
        <f t="shared" si="12"/>
        <v>94.240384124853819</v>
      </c>
      <c r="Z85" s="21">
        <f t="shared" si="16"/>
        <v>161.55494421403512</v>
      </c>
      <c r="AA85" s="20">
        <f t="shared" si="13"/>
        <v>94.240384124853819</v>
      </c>
    </row>
    <row r="86" spans="1:32" ht="15.75" outlineLevel="1" x14ac:dyDescent="0.4">
      <c r="A86" s="53">
        <v>7</v>
      </c>
      <c r="B86" s="32" t="s">
        <v>5</v>
      </c>
      <c r="C86" s="26">
        <v>-72</v>
      </c>
      <c r="D86" s="51">
        <f t="shared" si="14"/>
        <v>20.642159512453659</v>
      </c>
      <c r="E86" s="26">
        <v>134</v>
      </c>
      <c r="F86" s="26">
        <v>1.5</v>
      </c>
      <c r="G86" s="26"/>
      <c r="H86" s="26"/>
      <c r="I86" s="26"/>
      <c r="J86" s="26"/>
      <c r="K86" s="26"/>
      <c r="L86" s="26">
        <v>-67</v>
      </c>
      <c r="M86" s="51">
        <f t="shared" si="15"/>
        <v>16.153415615735092</v>
      </c>
      <c r="N86" s="26">
        <v>78</v>
      </c>
      <c r="O86" s="26">
        <v>1.5</v>
      </c>
      <c r="P86" s="27">
        <v>-67</v>
      </c>
      <c r="Q86" s="26"/>
      <c r="R86" s="28">
        <v>-73</v>
      </c>
      <c r="T86" s="68">
        <v>7</v>
      </c>
      <c r="U86" s="15" t="s">
        <v>5</v>
      </c>
      <c r="V86" s="14">
        <f>$AF$72</f>
        <v>-47.5</v>
      </c>
      <c r="W86" s="12">
        <v>60</v>
      </c>
      <c r="X86" s="10">
        <v>80</v>
      </c>
      <c r="Y86" s="20">
        <f t="shared" si="12"/>
        <v>113.35784048754634</v>
      </c>
      <c r="Z86" s="21">
        <f t="shared" si="16"/>
        <v>110.70794912742264</v>
      </c>
      <c r="AA86" s="20">
        <f t="shared" si="13"/>
        <v>61.846584384264908</v>
      </c>
    </row>
    <row r="87" spans="1:32" ht="15.75" outlineLevel="1" x14ac:dyDescent="0.4">
      <c r="A87" s="53"/>
      <c r="B87" s="32" t="s">
        <v>6</v>
      </c>
      <c r="C87" s="29">
        <v>-76</v>
      </c>
      <c r="D87" s="50">
        <f t="shared" si="14"/>
        <v>27.900039968031962</v>
      </c>
      <c r="E87" s="29">
        <v>153</v>
      </c>
      <c r="F87" s="29">
        <v>2.8</v>
      </c>
      <c r="G87" s="29"/>
      <c r="H87" s="29"/>
      <c r="I87" s="29"/>
      <c r="J87" s="29"/>
      <c r="K87" s="29"/>
      <c r="L87" s="29">
        <v>-73</v>
      </c>
      <c r="M87" s="50">
        <f t="shared" si="15"/>
        <v>10.405897019501467</v>
      </c>
      <c r="N87" s="29">
        <v>91.8</v>
      </c>
      <c r="O87" s="29">
        <v>4</v>
      </c>
      <c r="P87" s="30">
        <v>-72</v>
      </c>
      <c r="Q87" s="29"/>
      <c r="R87" s="31">
        <v>-73</v>
      </c>
      <c r="T87" s="69"/>
      <c r="U87" s="15" t="s">
        <v>6</v>
      </c>
      <c r="V87" s="14">
        <f>$AF$72</f>
        <v>-47.5</v>
      </c>
      <c r="W87" s="12">
        <v>60</v>
      </c>
      <c r="X87" s="10">
        <v>150</v>
      </c>
      <c r="Y87" s="20">
        <f t="shared" si="12"/>
        <v>125.09996003196804</v>
      </c>
      <c r="Z87" s="21">
        <f t="shared" si="16"/>
        <v>168.3931411904891</v>
      </c>
      <c r="AA87" s="20">
        <f t="shared" si="13"/>
        <v>81.394102980498531</v>
      </c>
    </row>
    <row r="88" spans="1:32" ht="15.75" outlineLevel="1" x14ac:dyDescent="0.4">
      <c r="A88" s="53">
        <v>8</v>
      </c>
      <c r="B88" s="32" t="s">
        <v>5</v>
      </c>
      <c r="C88" s="26">
        <v>-69</v>
      </c>
      <c r="D88" s="51">
        <f t="shared" si="14"/>
        <v>7.3819834441274139</v>
      </c>
      <c r="E88" s="26">
        <v>118.4</v>
      </c>
      <c r="F88" s="26">
        <v>1.6</v>
      </c>
      <c r="G88" s="26"/>
      <c r="H88" s="26"/>
      <c r="I88" s="26"/>
      <c r="J88" s="26"/>
      <c r="K88" s="26"/>
      <c r="L88" s="26">
        <v>-74</v>
      </c>
      <c r="M88" s="51">
        <f t="shared" si="15"/>
        <v>23.683608037975432</v>
      </c>
      <c r="N88" s="26">
        <v>169.8</v>
      </c>
      <c r="O88" s="26">
        <v>4.3</v>
      </c>
      <c r="P88" s="27">
        <v>-73</v>
      </c>
      <c r="Q88" s="26"/>
      <c r="R88" s="28">
        <v>-77</v>
      </c>
      <c r="T88" s="68">
        <v>8</v>
      </c>
      <c r="U88" s="15" t="s">
        <v>5</v>
      </c>
      <c r="V88" s="14">
        <f>$AD$72</f>
        <v>47.5</v>
      </c>
      <c r="W88" s="12">
        <v>110</v>
      </c>
      <c r="X88" s="10">
        <v>80</v>
      </c>
      <c r="Y88" s="20">
        <f t="shared" si="12"/>
        <v>111.01801655587259</v>
      </c>
      <c r="Z88" s="21">
        <f t="shared" si="16"/>
        <v>144.07029534223909</v>
      </c>
      <c r="AA88" s="20">
        <f t="shared" si="13"/>
        <v>146.11639196202458</v>
      </c>
    </row>
    <row r="89" spans="1:32" ht="15.75" outlineLevel="1" x14ac:dyDescent="0.4">
      <c r="A89" s="53"/>
      <c r="B89" s="32" t="s">
        <v>6</v>
      </c>
      <c r="C89" s="29">
        <v>-72</v>
      </c>
      <c r="D89" s="50">
        <f t="shared" si="14"/>
        <v>28.516261237511571</v>
      </c>
      <c r="E89" s="29">
        <v>151.5</v>
      </c>
      <c r="F89" s="29">
        <v>3.5</v>
      </c>
      <c r="G89" s="29"/>
      <c r="H89" s="29"/>
      <c r="I89" s="29"/>
      <c r="J89" s="29"/>
      <c r="K89" s="29"/>
      <c r="L89" s="29">
        <v>-76</v>
      </c>
      <c r="M89" s="50">
        <f t="shared" si="15"/>
        <v>25.59729732079947</v>
      </c>
      <c r="N89" s="29">
        <v>181</v>
      </c>
      <c r="O89" s="29">
        <v>2.7</v>
      </c>
      <c r="P89" s="30">
        <v>-72</v>
      </c>
      <c r="Q89" s="29"/>
      <c r="R89" s="31">
        <v>-70</v>
      </c>
      <c r="T89" s="69"/>
      <c r="U89" s="15" t="s">
        <v>6</v>
      </c>
      <c r="V89" s="14">
        <f>$AD$72</f>
        <v>47.5</v>
      </c>
      <c r="W89" s="12">
        <v>110</v>
      </c>
      <c r="X89" s="10">
        <v>150</v>
      </c>
      <c r="Y89" s="20">
        <f t="shared" si="12"/>
        <v>122.98373876248843</v>
      </c>
      <c r="Z89" s="21">
        <f t="shared" si="16"/>
        <v>191.97981664747991</v>
      </c>
      <c r="AA89" s="20">
        <f t="shared" si="13"/>
        <v>155.40270267920053</v>
      </c>
    </row>
    <row r="90" spans="1:32" ht="15.75" outlineLevel="1" x14ac:dyDescent="0.4">
      <c r="A90" s="53">
        <v>9</v>
      </c>
      <c r="B90" s="32" t="s">
        <v>5</v>
      </c>
      <c r="C90" s="26">
        <v>-72</v>
      </c>
      <c r="D90" s="51">
        <f t="shared" si="14"/>
        <v>27.247153242666784</v>
      </c>
      <c r="E90" s="26">
        <v>148</v>
      </c>
      <c r="F90" s="26">
        <v>4.0999999999999996</v>
      </c>
      <c r="G90" s="26"/>
      <c r="H90" s="26"/>
      <c r="I90" s="26"/>
      <c r="J90" s="26"/>
      <c r="K90" s="26"/>
      <c r="L90" s="26">
        <v>-74</v>
      </c>
      <c r="M90" s="51">
        <f t="shared" si="15"/>
        <v>18.247153242666784</v>
      </c>
      <c r="N90" s="26">
        <v>139</v>
      </c>
      <c r="O90" s="26">
        <v>2</v>
      </c>
      <c r="P90" s="27">
        <v>-72</v>
      </c>
      <c r="Q90" s="26"/>
      <c r="R90" s="28">
        <v>-73</v>
      </c>
      <c r="T90" s="68">
        <v>9</v>
      </c>
      <c r="U90" s="15" t="s">
        <v>5</v>
      </c>
      <c r="V90" s="14">
        <v>0</v>
      </c>
      <c r="W90" s="12">
        <v>110</v>
      </c>
      <c r="X90" s="10">
        <v>80</v>
      </c>
      <c r="Y90" s="20">
        <f t="shared" si="12"/>
        <v>120.75284675733322</v>
      </c>
      <c r="Z90" s="21">
        <f t="shared" si="16"/>
        <v>136.01470508735443</v>
      </c>
      <c r="AA90" s="20">
        <f t="shared" si="13"/>
        <v>120.75284675733322</v>
      </c>
    </row>
    <row r="91" spans="1:32" ht="15.75" outlineLevel="1" x14ac:dyDescent="0.4">
      <c r="A91" s="53"/>
      <c r="B91" s="32" t="s">
        <v>6</v>
      </c>
      <c r="C91" s="29">
        <v>-73</v>
      </c>
      <c r="D91" s="50">
        <f t="shared" si="14"/>
        <v>24.162031265647897</v>
      </c>
      <c r="E91" s="29">
        <v>156</v>
      </c>
      <c r="F91" s="29">
        <v>4.7</v>
      </c>
      <c r="G91" s="29"/>
      <c r="H91" s="29"/>
      <c r="I91" s="29"/>
      <c r="J91" s="29"/>
      <c r="K91" s="29"/>
      <c r="L91" s="29">
        <v>-74</v>
      </c>
      <c r="M91" s="50">
        <f t="shared" si="15"/>
        <v>22.162031265647897</v>
      </c>
      <c r="N91" s="29">
        <v>154</v>
      </c>
      <c r="O91" s="29">
        <v>7</v>
      </c>
      <c r="P91" s="30">
        <v>-73</v>
      </c>
      <c r="Q91" s="29"/>
      <c r="R91" s="31">
        <v>-73</v>
      </c>
      <c r="T91" s="69"/>
      <c r="U91" s="15" t="s">
        <v>6</v>
      </c>
      <c r="V91" s="14">
        <v>0</v>
      </c>
      <c r="W91" s="12">
        <v>110</v>
      </c>
      <c r="X91" s="10">
        <v>150</v>
      </c>
      <c r="Y91" s="20">
        <f t="shared" si="12"/>
        <v>131.8379687343521</v>
      </c>
      <c r="Z91" s="21">
        <f t="shared" si="16"/>
        <v>186.01075237738274</v>
      </c>
      <c r="AA91" s="20">
        <f t="shared" si="13"/>
        <v>131.8379687343521</v>
      </c>
    </row>
    <row r="92" spans="1:32" ht="15.75" outlineLevel="1" x14ac:dyDescent="0.4">
      <c r="A92" s="53">
        <v>10</v>
      </c>
      <c r="B92" s="32" t="s">
        <v>5</v>
      </c>
      <c r="C92" s="26">
        <v>-75</v>
      </c>
      <c r="D92" s="51">
        <f t="shared" si="14"/>
        <v>27.883608037975421</v>
      </c>
      <c r="E92" s="26">
        <v>174</v>
      </c>
      <c r="F92" s="26">
        <v>2.4</v>
      </c>
      <c r="G92" s="26"/>
      <c r="H92" s="26"/>
      <c r="I92" s="26"/>
      <c r="J92" s="26"/>
      <c r="K92" s="26"/>
      <c r="L92" s="26">
        <v>-72</v>
      </c>
      <c r="M92" s="51">
        <f t="shared" si="15"/>
        <v>16.981983444127408</v>
      </c>
      <c r="N92" s="26">
        <v>128</v>
      </c>
      <c r="O92" s="26">
        <v>1.3</v>
      </c>
      <c r="P92" s="27">
        <v>-71</v>
      </c>
      <c r="Q92" s="26"/>
      <c r="R92" s="28">
        <v>-73</v>
      </c>
      <c r="T92" s="68">
        <v>10</v>
      </c>
      <c r="U92" s="15" t="s">
        <v>5</v>
      </c>
      <c r="V92" s="14">
        <f>$AF$72</f>
        <v>-47.5</v>
      </c>
      <c r="W92" s="12">
        <v>110</v>
      </c>
      <c r="X92" s="10">
        <v>80</v>
      </c>
      <c r="Y92" s="20">
        <f t="shared" si="12"/>
        <v>146.11639196202458</v>
      </c>
      <c r="Z92" s="21">
        <f t="shared" si="16"/>
        <v>144.07029534223909</v>
      </c>
      <c r="AA92" s="20">
        <f t="shared" si="13"/>
        <v>111.01801655587259</v>
      </c>
    </row>
    <row r="93" spans="1:32" ht="15.75" outlineLevel="1" x14ac:dyDescent="0.4">
      <c r="A93" s="53"/>
      <c r="B93" s="32" t="s">
        <v>6</v>
      </c>
      <c r="C93" s="29">
        <v>-75</v>
      </c>
      <c r="D93" s="50">
        <f t="shared" si="14"/>
        <v>17.59729732079947</v>
      </c>
      <c r="E93" s="29">
        <v>173</v>
      </c>
      <c r="F93" s="29">
        <v>3.4</v>
      </c>
      <c r="G93" s="29"/>
      <c r="H93" s="29"/>
      <c r="I93" s="29"/>
      <c r="J93" s="29"/>
      <c r="K93" s="29"/>
      <c r="L93" s="29">
        <v>-72</v>
      </c>
      <c r="M93" s="50">
        <f t="shared" si="15"/>
        <v>25.016261237511571</v>
      </c>
      <c r="N93" s="29">
        <v>148</v>
      </c>
      <c r="O93" s="29">
        <v>4.2</v>
      </c>
      <c r="P93" s="30">
        <v>-70</v>
      </c>
      <c r="Q93" s="29"/>
      <c r="R93" s="31">
        <v>-71</v>
      </c>
      <c r="T93" s="69"/>
      <c r="U93" s="15" t="s">
        <v>6</v>
      </c>
      <c r="V93" s="14">
        <f>$AF$72</f>
        <v>-47.5</v>
      </c>
      <c r="W93" s="12">
        <v>110</v>
      </c>
      <c r="X93" s="10">
        <v>150</v>
      </c>
      <c r="Y93" s="20">
        <f t="shared" si="12"/>
        <v>155.40270267920053</v>
      </c>
      <c r="Z93" s="21">
        <f t="shared" si="16"/>
        <v>191.97981664747991</v>
      </c>
      <c r="AA93" s="20">
        <f t="shared" si="13"/>
        <v>122.98373876248843</v>
      </c>
    </row>
    <row r="94" spans="1:32" ht="15.75" outlineLevel="1" x14ac:dyDescent="0.4">
      <c r="A94" s="53">
        <v>11</v>
      </c>
      <c r="B94" s="32" t="s">
        <v>5</v>
      </c>
      <c r="C94" s="26">
        <v>-73</v>
      </c>
      <c r="D94" s="51">
        <f t="shared" si="14"/>
        <v>3.8984132001180285</v>
      </c>
      <c r="E94" s="26">
        <v>164.6</v>
      </c>
      <c r="F94" s="26">
        <v>1.7</v>
      </c>
      <c r="G94" s="26"/>
      <c r="H94" s="26"/>
      <c r="I94" s="26"/>
      <c r="J94" s="26"/>
      <c r="K94" s="26"/>
      <c r="L94" s="26">
        <v>-75</v>
      </c>
      <c r="M94" s="51">
        <f t="shared" si="15"/>
        <v>10.618452974055316</v>
      </c>
      <c r="N94" s="26">
        <v>197.3</v>
      </c>
      <c r="O94" s="26">
        <v>2.1</v>
      </c>
      <c r="P94" s="27">
        <v>-72</v>
      </c>
      <c r="Q94" s="26"/>
      <c r="R94" s="28">
        <v>-76</v>
      </c>
      <c r="T94" s="68">
        <v>11</v>
      </c>
      <c r="U94" s="15" t="s">
        <v>5</v>
      </c>
      <c r="V94" s="14">
        <f>$AD$72</f>
        <v>47.5</v>
      </c>
      <c r="W94" s="12">
        <v>160</v>
      </c>
      <c r="X94" s="10">
        <v>80</v>
      </c>
      <c r="Y94" s="20">
        <f t="shared" si="12"/>
        <v>160.70158679988197</v>
      </c>
      <c r="Z94" s="21">
        <f t="shared" si="16"/>
        <v>185.08444018879598</v>
      </c>
      <c r="AA94" s="20">
        <f t="shared" si="13"/>
        <v>186.6815470259447</v>
      </c>
    </row>
    <row r="95" spans="1:32" ht="15.75" outlineLevel="1" x14ac:dyDescent="0.4">
      <c r="A95" s="53"/>
      <c r="B95" s="32" t="s">
        <v>6</v>
      </c>
      <c r="C95" s="29">
        <v>-73</v>
      </c>
      <c r="D95" s="50">
        <f t="shared" si="14"/>
        <v>14.810756843113694</v>
      </c>
      <c r="E95" s="29">
        <v>184</v>
      </c>
      <c r="F95" s="29">
        <v>3.6</v>
      </c>
      <c r="G95" s="29"/>
      <c r="H95" s="29"/>
      <c r="I95" s="29"/>
      <c r="J95" s="29"/>
      <c r="K95" s="29"/>
      <c r="L95" s="29">
        <v>-79</v>
      </c>
      <c r="M95" s="50">
        <f t="shared" si="15"/>
        <v>33.963920880677449</v>
      </c>
      <c r="N95" s="29">
        <v>228</v>
      </c>
      <c r="O95" s="29" t="s">
        <v>29</v>
      </c>
      <c r="P95" s="30">
        <v>-73</v>
      </c>
      <c r="Q95" s="29"/>
      <c r="R95" s="31">
        <v>-75</v>
      </c>
      <c r="T95" s="69"/>
      <c r="U95" s="15" t="s">
        <v>6</v>
      </c>
      <c r="V95" s="14">
        <f>$AD$72</f>
        <v>47.5</v>
      </c>
      <c r="W95" s="12">
        <v>160</v>
      </c>
      <c r="X95" s="10">
        <v>150</v>
      </c>
      <c r="Y95" s="20">
        <f t="shared" si="12"/>
        <v>169.18924315688631</v>
      </c>
      <c r="Z95" s="21">
        <f t="shared" si="16"/>
        <v>224.40198305719136</v>
      </c>
      <c r="AA95" s="20">
        <f t="shared" si="13"/>
        <v>194.03607911932255</v>
      </c>
    </row>
    <row r="96" spans="1:32" ht="15.75" outlineLevel="1" x14ac:dyDescent="0.4">
      <c r="A96" s="53">
        <v>12</v>
      </c>
      <c r="B96" s="32" t="s">
        <v>5</v>
      </c>
      <c r="C96" s="26">
        <v>-74</v>
      </c>
      <c r="D96" s="51">
        <f t="shared" si="14"/>
        <v>11.425389751311059</v>
      </c>
      <c r="E96" s="26">
        <v>179</v>
      </c>
      <c r="F96" s="26">
        <v>10</v>
      </c>
      <c r="G96" s="26"/>
      <c r="H96" s="26"/>
      <c r="I96" s="26"/>
      <c r="J96" s="26"/>
      <c r="K96" s="26"/>
      <c r="L96" s="26">
        <v>-77</v>
      </c>
      <c r="M96" s="51">
        <f t="shared" si="15"/>
        <v>16.425389751311059</v>
      </c>
      <c r="N96" s="26">
        <v>184</v>
      </c>
      <c r="O96" s="26">
        <v>1.3</v>
      </c>
      <c r="P96" s="27">
        <v>-74</v>
      </c>
      <c r="Q96" s="26"/>
      <c r="R96" s="28">
        <v>-77</v>
      </c>
      <c r="T96" s="68">
        <v>12</v>
      </c>
      <c r="U96" s="15" t="s">
        <v>5</v>
      </c>
      <c r="V96" s="14">
        <v>0</v>
      </c>
      <c r="W96" s="12">
        <v>160</v>
      </c>
      <c r="X96" s="10">
        <v>80</v>
      </c>
      <c r="Y96" s="20">
        <f t="shared" si="12"/>
        <v>167.57461024868894</v>
      </c>
      <c r="Z96" s="21">
        <f t="shared" si="16"/>
        <v>178.88543819998318</v>
      </c>
      <c r="AA96" s="20">
        <f t="shared" si="13"/>
        <v>167.57461024868894</v>
      </c>
    </row>
    <row r="97" spans="1:27" ht="15.75" outlineLevel="1" x14ac:dyDescent="0.4">
      <c r="A97" s="53"/>
      <c r="B97" s="32" t="s">
        <v>6</v>
      </c>
      <c r="C97" s="29">
        <v>-74</v>
      </c>
      <c r="D97" s="50">
        <f t="shared" si="14"/>
        <v>19.269382292100289</v>
      </c>
      <c r="E97" s="29">
        <v>195</v>
      </c>
      <c r="F97" s="29">
        <v>2</v>
      </c>
      <c r="G97" s="29"/>
      <c r="H97" s="29"/>
      <c r="I97" s="29"/>
      <c r="J97" s="29"/>
      <c r="K97" s="29"/>
      <c r="L97" s="29">
        <v>-75</v>
      </c>
      <c r="M97" s="50">
        <f t="shared" si="15"/>
        <v>16.269382292100289</v>
      </c>
      <c r="N97" s="29">
        <v>192</v>
      </c>
      <c r="O97" s="29">
        <v>4.2</v>
      </c>
      <c r="P97" s="30">
        <v>-75</v>
      </c>
      <c r="Q97" s="29"/>
      <c r="R97" s="31">
        <v>-77</v>
      </c>
      <c r="T97" s="69"/>
      <c r="U97" s="15" t="s">
        <v>6</v>
      </c>
      <c r="V97" s="14">
        <v>0</v>
      </c>
      <c r="W97" s="12">
        <v>160</v>
      </c>
      <c r="X97" s="10">
        <v>150</v>
      </c>
      <c r="Y97" s="20">
        <f t="shared" si="12"/>
        <v>175.73061770789971</v>
      </c>
      <c r="Z97" s="21">
        <f t="shared" si="16"/>
        <v>219.31712199461307</v>
      </c>
      <c r="AA97" s="20">
        <f t="shared" si="13"/>
        <v>175.73061770789971</v>
      </c>
    </row>
    <row r="98" spans="1:27" ht="15.75" outlineLevel="1" x14ac:dyDescent="0.4">
      <c r="A98" s="53">
        <v>13</v>
      </c>
      <c r="B98" s="32" t="s">
        <v>5</v>
      </c>
      <c r="C98" s="26">
        <v>-74</v>
      </c>
      <c r="D98" s="51">
        <f t="shared" si="14"/>
        <v>19.318452974055305</v>
      </c>
      <c r="E98" s="26">
        <v>206</v>
      </c>
      <c r="F98" s="26">
        <v>2.7</v>
      </c>
      <c r="G98" s="26"/>
      <c r="H98" s="26"/>
      <c r="I98" s="26"/>
      <c r="J98" s="26"/>
      <c r="K98" s="26"/>
      <c r="L98" s="26">
        <v>-72</v>
      </c>
      <c r="M98" s="51">
        <f t="shared" si="15"/>
        <v>19.298413200118034</v>
      </c>
      <c r="N98" s="26">
        <v>180</v>
      </c>
      <c r="O98" s="26">
        <v>2</v>
      </c>
      <c r="P98" s="27">
        <v>-74</v>
      </c>
      <c r="Q98" s="26"/>
      <c r="R98" s="28">
        <v>-70</v>
      </c>
      <c r="T98" s="68">
        <v>13</v>
      </c>
      <c r="U98" s="15" t="s">
        <v>5</v>
      </c>
      <c r="V98" s="14">
        <f>$AF$72</f>
        <v>-47.5</v>
      </c>
      <c r="W98" s="12">
        <v>160</v>
      </c>
      <c r="X98" s="10">
        <v>80</v>
      </c>
      <c r="Y98" s="20">
        <f t="shared" si="12"/>
        <v>186.6815470259447</v>
      </c>
      <c r="Z98" s="21">
        <f t="shared" si="16"/>
        <v>185.08444018879598</v>
      </c>
      <c r="AA98" s="20">
        <f t="shared" si="13"/>
        <v>160.70158679988197</v>
      </c>
    </row>
    <row r="99" spans="1:27" ht="15.75" outlineLevel="1" x14ac:dyDescent="0.4">
      <c r="A99" s="53"/>
      <c r="B99" s="32" t="s">
        <v>6</v>
      </c>
      <c r="C99" s="29">
        <v>-77</v>
      </c>
      <c r="D99" s="50">
        <f t="shared" si="14"/>
        <v>20.963920880677449</v>
      </c>
      <c r="E99" s="29">
        <v>215</v>
      </c>
      <c r="F99" s="29">
        <v>3</v>
      </c>
      <c r="G99" s="29"/>
      <c r="H99" s="29"/>
      <c r="I99" s="29"/>
      <c r="J99" s="29"/>
      <c r="K99" s="29"/>
      <c r="L99" s="29">
        <v>-75</v>
      </c>
      <c r="M99" s="50">
        <f t="shared" si="15"/>
        <v>10.810756843113694</v>
      </c>
      <c r="N99" s="29">
        <v>180</v>
      </c>
      <c r="O99" s="29">
        <v>3.9</v>
      </c>
      <c r="P99" s="30">
        <v>-75</v>
      </c>
      <c r="Q99" s="29"/>
      <c r="R99" s="31">
        <v>-78</v>
      </c>
      <c r="T99" s="69"/>
      <c r="U99" s="15" t="s">
        <v>6</v>
      </c>
      <c r="V99" s="14">
        <f>$AF$72</f>
        <v>-47.5</v>
      </c>
      <c r="W99" s="12">
        <v>160</v>
      </c>
      <c r="X99" s="10">
        <v>150</v>
      </c>
      <c r="Y99" s="20">
        <f t="shared" si="12"/>
        <v>194.03607911932255</v>
      </c>
      <c r="Z99" s="21">
        <f t="shared" si="16"/>
        <v>224.40198305719136</v>
      </c>
      <c r="AA99" s="20">
        <f t="shared" si="13"/>
        <v>169.18924315688631</v>
      </c>
    </row>
    <row r="100" spans="1:27" ht="15.75" outlineLevel="1" x14ac:dyDescent="0.4">
      <c r="A100" s="53">
        <v>14</v>
      </c>
      <c r="B100" s="32" t="s">
        <v>5</v>
      </c>
      <c r="C100" s="26">
        <v>-76</v>
      </c>
      <c r="D100" s="51">
        <f t="shared" si="14"/>
        <v>17.173101769033423</v>
      </c>
      <c r="E100" s="26">
        <v>233</v>
      </c>
      <c r="F100" s="26">
        <v>18</v>
      </c>
      <c r="G100" s="26"/>
      <c r="H100" s="26"/>
      <c r="I100" s="26"/>
      <c r="J100" s="26"/>
      <c r="K100" s="26"/>
      <c r="L100" s="26">
        <v>-75</v>
      </c>
      <c r="M100" s="51">
        <f t="shared" si="15"/>
        <v>19.173101769033423</v>
      </c>
      <c r="N100" s="26">
        <v>235</v>
      </c>
      <c r="O100" s="26">
        <v>3.7</v>
      </c>
      <c r="P100" s="27">
        <v>-74</v>
      </c>
      <c r="Q100" s="26"/>
      <c r="R100" s="28">
        <v>-74</v>
      </c>
      <c r="T100" s="68">
        <v>14</v>
      </c>
      <c r="U100" s="15" t="s">
        <v>5</v>
      </c>
      <c r="V100" s="14">
        <v>0</v>
      </c>
      <c r="W100" s="12">
        <v>210</v>
      </c>
      <c r="X100" s="10">
        <v>80</v>
      </c>
      <c r="Y100" s="20">
        <f t="shared" si="12"/>
        <v>215.82689823096658</v>
      </c>
      <c r="Z100" s="21">
        <f t="shared" si="16"/>
        <v>224.72205054244233</v>
      </c>
      <c r="AA100" s="20">
        <f t="shared" si="13"/>
        <v>215.82689823096658</v>
      </c>
    </row>
    <row r="101" spans="1:27" ht="15.75" outlineLevel="1" x14ac:dyDescent="0.4">
      <c r="A101" s="57"/>
      <c r="B101" s="33" t="s">
        <v>6</v>
      </c>
      <c r="C101" s="34">
        <v>-80</v>
      </c>
      <c r="D101" s="52">
        <f t="shared" si="14"/>
        <v>-3.2189235866288755</v>
      </c>
      <c r="E101" s="34">
        <v>219</v>
      </c>
      <c r="F101" s="34">
        <v>9</v>
      </c>
      <c r="G101" s="34"/>
      <c r="H101" s="34"/>
      <c r="I101" s="34"/>
      <c r="J101" s="34"/>
      <c r="K101" s="34"/>
      <c r="L101" s="34">
        <v>-76</v>
      </c>
      <c r="M101" s="52">
        <f t="shared" si="15"/>
        <v>22.781076413371125</v>
      </c>
      <c r="N101" s="34">
        <v>245</v>
      </c>
      <c r="O101" s="34">
        <v>3.1</v>
      </c>
      <c r="P101" s="35">
        <v>-73</v>
      </c>
      <c r="Q101" s="34"/>
      <c r="R101" s="36">
        <v>-75</v>
      </c>
      <c r="T101" s="69"/>
      <c r="U101" s="15" t="s">
        <v>6</v>
      </c>
      <c r="V101" s="14">
        <v>0</v>
      </c>
      <c r="W101" s="12">
        <v>210</v>
      </c>
      <c r="X101" s="10">
        <v>150</v>
      </c>
      <c r="Y101" s="20">
        <f t="shared" si="12"/>
        <v>222.21892358662888</v>
      </c>
      <c r="Z101" s="21">
        <f t="shared" si="16"/>
        <v>258.06975801127879</v>
      </c>
      <c r="AA101" s="20">
        <f t="shared" si="13"/>
        <v>222.21892358662888</v>
      </c>
    </row>
    <row r="102" spans="1:27" outlineLevel="1" x14ac:dyDescent="0.4">
      <c r="A102" s="79" t="s">
        <v>35</v>
      </c>
      <c r="B102" s="80"/>
      <c r="C102" s="37">
        <f t="shared" ref="C102:P102" si="17">AVERAGE(C72:C101)</f>
        <v>-71.466666666666669</v>
      </c>
      <c r="D102" s="37"/>
      <c r="E102" s="37"/>
      <c r="F102" s="37">
        <f t="shared" si="17"/>
        <v>3.8</v>
      </c>
      <c r="G102" s="37"/>
      <c r="H102" s="37"/>
      <c r="I102" s="37"/>
      <c r="J102" s="37"/>
      <c r="K102" s="37"/>
      <c r="L102" s="37">
        <f t="shared" si="17"/>
        <v>-73.099999999999994</v>
      </c>
      <c r="M102" s="37"/>
      <c r="N102" s="37"/>
      <c r="O102" s="37">
        <f t="shared" si="17"/>
        <v>2.6103448275862071</v>
      </c>
      <c r="P102" s="37">
        <f t="shared" si="17"/>
        <v>-69.933333333333337</v>
      </c>
      <c r="Q102" s="37"/>
      <c r="R102" s="38">
        <f>AVERAGE(R72:R101)</f>
        <v>-71.566666666666663</v>
      </c>
    </row>
  </sheetData>
  <mergeCells count="116">
    <mergeCell ref="T94:T95"/>
    <mergeCell ref="T96:T97"/>
    <mergeCell ref="T98:T99"/>
    <mergeCell ref="T100:T101"/>
    <mergeCell ref="T84:T85"/>
    <mergeCell ref="T86:T87"/>
    <mergeCell ref="T88:T89"/>
    <mergeCell ref="T90:T91"/>
    <mergeCell ref="T92:T93"/>
    <mergeCell ref="T46:T47"/>
    <mergeCell ref="T48:T49"/>
    <mergeCell ref="T74:T75"/>
    <mergeCell ref="T76:T77"/>
    <mergeCell ref="T78:T79"/>
    <mergeCell ref="T80:T81"/>
    <mergeCell ref="T82:T83"/>
    <mergeCell ref="T60:T61"/>
    <mergeCell ref="T62:T63"/>
    <mergeCell ref="T64:T65"/>
    <mergeCell ref="T66:T67"/>
    <mergeCell ref="T72:T73"/>
    <mergeCell ref="A56:A57"/>
    <mergeCell ref="A58:A59"/>
    <mergeCell ref="A60:A61"/>
    <mergeCell ref="A70:B71"/>
    <mergeCell ref="T12:T13"/>
    <mergeCell ref="T14:T15"/>
    <mergeCell ref="A18:A19"/>
    <mergeCell ref="A20:A21"/>
    <mergeCell ref="A22:A23"/>
    <mergeCell ref="A24:A25"/>
    <mergeCell ref="A14:A15"/>
    <mergeCell ref="C70:G70"/>
    <mergeCell ref="H70:K70"/>
    <mergeCell ref="L70:O70"/>
    <mergeCell ref="P70:R70"/>
    <mergeCell ref="T38:T39"/>
    <mergeCell ref="T50:T51"/>
    <mergeCell ref="T52:T53"/>
    <mergeCell ref="T54:T55"/>
    <mergeCell ref="T56:T57"/>
    <mergeCell ref="T58:T59"/>
    <mergeCell ref="T40:T41"/>
    <mergeCell ref="T42:T43"/>
    <mergeCell ref="T44:T45"/>
    <mergeCell ref="AC10:AF15"/>
    <mergeCell ref="AC44:AF49"/>
    <mergeCell ref="A102:B102"/>
    <mergeCell ref="A69:H69"/>
    <mergeCell ref="AC79:AF84"/>
    <mergeCell ref="A34:B34"/>
    <mergeCell ref="A68:B68"/>
    <mergeCell ref="H36:K36"/>
    <mergeCell ref="A26:A27"/>
    <mergeCell ref="A64:A65"/>
    <mergeCell ref="A66:A67"/>
    <mergeCell ref="A50:A51"/>
    <mergeCell ref="A52:A53"/>
    <mergeCell ref="A54:A55"/>
    <mergeCell ref="L36:O36"/>
    <mergeCell ref="P36:R36"/>
    <mergeCell ref="A72:A73"/>
    <mergeCell ref="A74:A75"/>
    <mergeCell ref="A76:A77"/>
    <mergeCell ref="A78:A79"/>
    <mergeCell ref="A80:A81"/>
    <mergeCell ref="A100:A101"/>
    <mergeCell ref="A82:A83"/>
    <mergeCell ref="A84:A85"/>
    <mergeCell ref="T2:AA2"/>
    <mergeCell ref="T28:T29"/>
    <mergeCell ref="T30:T31"/>
    <mergeCell ref="T32:T33"/>
    <mergeCell ref="T16:T17"/>
    <mergeCell ref="T18:T19"/>
    <mergeCell ref="T20:T21"/>
    <mergeCell ref="T22:T23"/>
    <mergeCell ref="T24:T25"/>
    <mergeCell ref="T26:T27"/>
    <mergeCell ref="T4:T5"/>
    <mergeCell ref="T6:T7"/>
    <mergeCell ref="T8:T9"/>
    <mergeCell ref="T10:T11"/>
    <mergeCell ref="A8:A9"/>
    <mergeCell ref="A10:A11"/>
    <mergeCell ref="A12:A13"/>
    <mergeCell ref="P2:R2"/>
    <mergeCell ref="A2:B3"/>
    <mergeCell ref="C2:G2"/>
    <mergeCell ref="H2:K2"/>
    <mergeCell ref="L2:O2"/>
    <mergeCell ref="A4:A5"/>
    <mergeCell ref="A86:A87"/>
    <mergeCell ref="A88:A89"/>
    <mergeCell ref="A90:A91"/>
    <mergeCell ref="A92:A93"/>
    <mergeCell ref="A94:A95"/>
    <mergeCell ref="A96:A97"/>
    <mergeCell ref="A98:A99"/>
    <mergeCell ref="AC2:AF2"/>
    <mergeCell ref="A1:H1"/>
    <mergeCell ref="A35:H35"/>
    <mergeCell ref="A62:A63"/>
    <mergeCell ref="A38:A39"/>
    <mergeCell ref="A40:A41"/>
    <mergeCell ref="A42:A43"/>
    <mergeCell ref="A44:A45"/>
    <mergeCell ref="A46:A47"/>
    <mergeCell ref="A48:A49"/>
    <mergeCell ref="A28:A29"/>
    <mergeCell ref="A30:A31"/>
    <mergeCell ref="A32:A33"/>
    <mergeCell ref="A36:B37"/>
    <mergeCell ref="C36:G36"/>
    <mergeCell ref="A16:A17"/>
    <mergeCell ref="A6:A7"/>
  </mergeCells>
  <phoneticPr fontId="1" type="noConversion"/>
  <conditionalFormatting sqref="D4:D33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{694E9571-BB6E-4A69-A6BE-04CC9B76D2F9}</x14:id>
        </ext>
      </extLst>
    </cfRule>
  </conditionalFormatting>
  <conditionalFormatting sqref="D38:D67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{19904B07-BF99-4EEC-99F4-64B2DC13307E}</x14:id>
        </ext>
      </extLst>
    </cfRule>
  </conditionalFormatting>
  <conditionalFormatting sqref="D72:D10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{28B082CD-DBDC-4277-9435-F2B4C65E1FCF}</x14:id>
        </ext>
      </extLst>
    </cfRule>
  </conditionalFormatting>
  <conditionalFormatting sqref="I4:I33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{CF2D3A36-A975-4CDA-A45E-1E39C1E03B79}</x14:id>
        </ext>
      </extLst>
    </cfRule>
  </conditionalFormatting>
  <conditionalFormatting sqref="M38:M67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{A9C2B349-FBBD-4B35-A7B1-31CDF0F3E270}</x14:id>
        </ext>
      </extLst>
    </cfRule>
  </conditionalFormatting>
  <conditionalFormatting sqref="M72:M10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{73434225-365B-4432-BE60-E8082DBA06A1}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94E9571-BB6E-4A69-A6BE-04CC9B76D2F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D4:D33</xm:sqref>
        </x14:conditionalFormatting>
        <x14:conditionalFormatting xmlns:xm="http://schemas.microsoft.com/office/excel/2006/main">
          <x14:cfRule type="dataBar" id="{19904B07-BF99-4EEC-99F4-64B2DC13307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D38:D67</xm:sqref>
        </x14:conditionalFormatting>
        <x14:conditionalFormatting xmlns:xm="http://schemas.microsoft.com/office/excel/2006/main">
          <x14:cfRule type="dataBar" id="{28B082CD-DBDC-4277-9435-F2B4C65E1FC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D72:D101</xm:sqref>
        </x14:conditionalFormatting>
        <x14:conditionalFormatting xmlns:xm="http://schemas.microsoft.com/office/excel/2006/main">
          <x14:cfRule type="dataBar" id="{CF2D3A36-A975-4CDA-A45E-1E39C1E03B7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I4:I33</xm:sqref>
        </x14:conditionalFormatting>
        <x14:conditionalFormatting xmlns:xm="http://schemas.microsoft.com/office/excel/2006/main">
          <x14:cfRule type="dataBar" id="{A9C2B349-FBBD-4B35-A7B1-31CDF0F3E27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M38:M67</xm:sqref>
        </x14:conditionalFormatting>
        <x14:conditionalFormatting xmlns:xm="http://schemas.microsoft.com/office/excel/2006/main">
          <x14:cfRule type="dataBar" id="{73434225-365B-4432-BE60-E8082DBA06A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M72:M101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UWB-Multi-Anchor-RSSI测试-CQ-2025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浪浪 漆</dc:creator>
  <cp:lastModifiedBy>浪浪 漆</cp:lastModifiedBy>
  <dcterms:created xsi:type="dcterms:W3CDTF">2024-12-21T05:41:22Z</dcterms:created>
  <dcterms:modified xsi:type="dcterms:W3CDTF">2025-01-16T04:34:14Z</dcterms:modified>
</cp:coreProperties>
</file>